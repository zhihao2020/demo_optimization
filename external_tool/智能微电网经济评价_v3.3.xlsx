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F07E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_参数" sheetId="3" state="veryHidden" r:id="rId3"/>
    <sheet xmlns:r="http://schemas.openxmlformats.org/officeDocument/2006/relationships" name="测算" sheetId="4" state="visible" r:id="rId4"/>
    <sheet xmlns:r="http://schemas.openxmlformats.org/officeDocument/2006/relationships" name="_引擎" sheetId="5" state="veryHidden" r:id="rId5"/>
  </sheets>
  <definedNames>
    <definedName name="_z3dy4z">'_参数'!$B$2:$D$2</definedName>
    <definedName name="_z7qs7z">'_参数'!$B$3:$D$3</definedName>
    <definedName name="_zs8gul">'_参数'!$B$4:$J$4</definedName>
    <definedName name="_z7rtb0">'_参数'!$B$5:$J$5</definedName>
    <definedName name="_zx3hze">'_参数'!$B$6:$J$6</definedName>
    <definedName name="_zg5rek">'_参数'!$B$7:$J$7</definedName>
    <definedName name="_zvd8oo">'_参数'!$B$8:$J$8</definedName>
    <definedName name="_z8uul7">'_参数'!$B$9:$J$9</definedName>
    <definedName name="_zmd2n1">'_参数'!$B$10:$J$10</definedName>
    <definedName name="_zrss8w">'_参数'!$B$11:$J$11</definedName>
    <definedName name="_zxylnr">'_参数'!$B$12:$J$12</definedName>
    <definedName name="_zcmix6">'_参数'!$B$13:$J$13</definedName>
    <definedName name="_zc9vmb">'_参数'!$B$14:$J$14</definedName>
    <definedName name="_zmt7yq">'_参数'!$B$15:$J$15</definedName>
    <definedName name="_zgrhmu">'_参数'!$B$16:$J$16</definedName>
    <definedName name="_z2124k">'_参数'!$B$17:$J$17</definedName>
    <definedName name="_zqq9kl">'_参数'!$B$18:$J$18</definedName>
    <definedName name="_z24fjs">'_参数'!$B$19:$J$19</definedName>
    <definedName name="_zziz19">'_参数'!$B$20:$J$20</definedName>
    <definedName name="_zg9g0j">'_参数'!$B$21:$J$21</definedName>
    <definedName name="_zpq4om">'_参数'!$B$22:$J$22</definedName>
    <definedName name="_zs2zbw">'_参数'!$B$23:$J$23</definedName>
    <definedName name="_zjyrt0">'_参数'!$B$24:$J$24</definedName>
    <definedName name="_zy9h20">'_参数'!$B$25:$J$25</definedName>
    <definedName name="_zvhtq5">'_参数'!$B$26:$J$26</definedName>
    <definedName name="_z8a1yw">'_参数'!$B$27:$J$27</definedName>
    <definedName name="_zw9i4c">'_参数'!$B$28:$J$28</definedName>
    <definedName name="_z83gdf">'_参数'!$B$29:$J$29</definedName>
    <definedName name="_zrngfq">'_参数'!$B$30:$J$30</definedName>
    <definedName name="_z34nes">'_参数'!$B$31:$J$31</definedName>
    <definedName name="_zsyvua">'_参数'!$B$32:$J$32</definedName>
    <definedName name="_ztu197">'_参数'!$B$33:$J$33</definedName>
    <definedName name="_zdz3nh">'_参数'!$B$34:$J$34</definedName>
    <definedName name="_z59qak">'_参数'!$B$35:$J$35</definedName>
    <definedName name="_z7g7nz">'_参数'!$B$36:$J$36</definedName>
    <definedName name="_zuo7z3">'_参数'!$B$37:$J$37</definedName>
    <definedName name="_zkdmvf">'_参数'!$B$38:$D$38</definedName>
    <definedName name="_zt1gjv">'_参数'!$B$39:$D$39</definedName>
    <definedName name="_zobook">'测算'!$C$5</definedName>
    <definedName name="_zhoj8r">'测算'!$C$7</definedName>
    <definedName name="_zqeqjw">'测算'!$C$11</definedName>
    <definedName name="_zzg0id">'测算'!$C$12</definedName>
    <definedName name="_zv2cfz">'测算'!$C$13</definedName>
    <definedName name="_zqixf0">'测算'!$C$14</definedName>
    <definedName name="_zh76h3">'测算'!$C$15</definedName>
    <definedName name="_zcyms1">'测算'!$C$16</definedName>
    <definedName name="_zghrhb">'测算'!$C$17</definedName>
    <definedName name="_zecdlb">'测算'!$C$20</definedName>
    <definedName name="_z75lzf">'测算'!$C$21</definedName>
    <definedName name="_zh30bl">'测算'!$C$22</definedName>
    <definedName name="_zfbc18">'测算'!$C$23</definedName>
    <definedName name="_zlghw4">'测算'!$C$24</definedName>
    <definedName name="_zofnoh">'测算'!$C$25</definedName>
    <definedName name="_zzd9na">'测算'!$C$28</definedName>
    <definedName name="_zks9j8">'测算'!$C$29</definedName>
    <definedName name="_zx0gw6">'测算'!$C$30</definedName>
    <definedName name="_z9rhi7">'测算'!$C$31</definedName>
    <definedName name="_zva2xn">'测算'!$C$32</definedName>
    <definedName name="_z1sub1">'测算'!$C$33</definedName>
    <definedName name="_zk03a3">'测算'!$C$34</definedName>
    <definedName name="_zlt415">'测算'!$C$35</definedName>
    <definedName name="_z2vg7y">'测算'!$C$36</definedName>
    <definedName name="_z1ltt4">'测算'!$C$37</definedName>
    <definedName name="_zy5ipr">'_引擎'!$B$2</definedName>
    <definedName name="_zflqft">'_引擎'!$B$3</definedName>
    <definedName name="_zx9tbe">'_引擎'!$B$4</definedName>
    <definedName name="_z39asj">'_引擎'!$B$5</definedName>
    <definedName name="_zdj37c">'_引擎'!$B$6</definedName>
    <definedName name="_zv9i5q">'_引擎'!$B$7</definedName>
    <definedName name="_zbr0hi">'_引擎'!$B$8</definedName>
    <definedName name="_zy2ig8">'_引擎'!$B$9</definedName>
    <definedName name="_z0ernh">'_引擎'!$B$10</definedName>
    <definedName name="_zhfuoj">'_引擎'!$B$11</definedName>
    <definedName name="_zpjfi7">'_引擎'!$B$12</definedName>
    <definedName name="_z8pux7">'_引擎'!$B$13</definedName>
    <definedName name="_zzcemp">'_引擎'!$B$14</definedName>
    <definedName name="_zpo09w">'_引擎'!$B$15</definedName>
    <definedName name="_z6l4ri">'_引擎'!$B$16</definedName>
    <definedName name="_zdd3mz">'_引擎'!$B$17</definedName>
    <definedName name="_z2y4dt">'_引擎'!$B$18</definedName>
    <definedName name="_zmkp8w">'_引擎'!$B$19</definedName>
    <definedName name="_zmbbnb">'_引擎'!$B$20</definedName>
    <definedName name="_z3wzt4">'_引擎'!$B$21</definedName>
    <definedName name="_zbx4ou">'_引擎'!$B$22</definedName>
    <definedName name="_zisdds">'_引擎'!$B$23</definedName>
    <definedName name="_zgk3lw">'_引擎'!$B$24</definedName>
    <definedName name="_zriby8">'_引擎'!$B$25</definedName>
    <definedName name="_zbpwff">'_引擎'!$B$26</definedName>
    <definedName name="_z7m6d8">'_引擎'!$B$27</definedName>
    <definedName name="_ziv1gc">'_引擎'!$B$28</definedName>
    <definedName name="_zz1w2z">'_引擎'!$B$29</definedName>
    <definedName name="_zq1zhk">'_引擎'!$B$30</definedName>
    <definedName name="_zq9jto">'_引擎'!$B$31</definedName>
    <definedName name="_z31n7i">'_引擎'!$B$32</definedName>
    <definedName name="_z4zxd3">'_引擎'!$B$33</definedName>
    <definedName name="_z35787">'_引擎'!$B$34</definedName>
    <definedName name="_zm0jdo">'_引擎'!$B$35</definedName>
    <definedName name="_z37tkh">'_引擎'!$B$36</definedName>
    <definedName name="_z9ck23">'_引擎'!$B$37</definedName>
    <definedName name="_zaapf6">'_引擎'!$B$38</definedName>
    <definedName name="_zkh06o">'_引擎'!$B$39</definedName>
    <definedName name="_z517d3">'_引擎'!$B$40</definedName>
    <definedName name="_z4p8is">'_引擎'!$B$41</definedName>
    <definedName name="_zka9am">'_引擎'!$B$42</definedName>
    <definedName name="_z1tt59">'_引擎'!$B$43</definedName>
    <definedName name="_zrzkf6">'_引擎'!$B$44</definedName>
    <definedName name="_zx5hja">'_引擎'!$B$45</definedName>
    <definedName name="_zn0hoh">'_引擎'!$B$46</definedName>
    <definedName name="_zmqr32">'_引擎'!$B$47</definedName>
    <definedName name="_z2al7i">'_引擎'!$B$48</definedName>
    <definedName name="_zgsfrl">'_引擎'!$B$49</definedName>
    <definedName name="_zbb0h1">'_引擎'!$B$50</definedName>
    <definedName name="_zh2s1v">'_引擎'!$B$51</definedName>
    <definedName name="_zxo0o2">'_引擎'!$B$52</definedName>
    <definedName name="_zk7d33">'_引擎'!$B$53</definedName>
    <definedName name="_zupe8l">'_引擎'!$B$54</definedName>
    <definedName name="_z0jo6h">'_引擎'!$B$55</definedName>
    <definedName name="_zkfhzg">'_引擎'!$B$56</definedName>
    <definedName name="_z4gfqk">'_引擎'!$B$57</definedName>
    <definedName name="_zk1wd3">'_引擎'!$B$58</definedName>
    <definedName name="_ztfkfy">'_引擎'!$B$59</definedName>
    <definedName name="_zmztd5">'_引擎'!$B$60</definedName>
    <definedName name="_z9arcc">'_引擎'!$AR$64:$AR$89</definedName>
    <definedName name="_ze1s6n">'_引擎'!$AS$64:$AS$89</definedName>
    <definedName name="_zfbj01">'_引擎'!$AT$64:$AT$89</definedName>
    <definedName name="_zeuabd">'_引擎'!$AU$64:$AU$89</definedName>
    <definedName name="_z4ca63">'_引擎'!$AV$64:$AV$89</definedName>
    <definedName name="_zxlxm4">'_引擎'!$AW$64:$AW$89</definedName>
    <definedName name="_zxzots">'_引擎'!$AX$64:$AX$89</definedName>
    <definedName name="_zo2cnc">'_引擎'!$AY$64:$AY$89</definedName>
    <definedName name="_zlo46y">'_引擎'!$AS$65:$AS$89</definedName>
    <definedName name="_zgl7j8">'_引擎'!$AZ$65:$AZ$89</definedName>
    <definedName name="_zzgx74">'_引擎'!$BA$65:$BA$89</definedName>
    <definedName name="_zc53rh">'_引擎'!$A$64:$A$89</definedName>
    <definedName name="_zsqbm8">'_引擎'!$B$91</definedName>
    <definedName name="_zzj3wj">'_引擎'!$B$92</definedName>
    <definedName name="_zqsho0">'_引擎'!$B$93</definedName>
    <definedName name="_zpy13v">'_引擎'!$B$94</definedName>
    <definedName name="_zxdbxd">'_引擎'!$B$95</definedName>
    <definedName name="_ztsxiq">'_引擎'!$B$96</definedName>
    <definedName name="_zvfwiv">'_引擎'!$B$97</definedName>
    <definedName name="_z3ewnh">'_引擎'!$B$98</definedName>
    <definedName name="_z2tbwe">'_引擎'!$B$99</definedName>
    <definedName name="_z8sr6o">'_引擎'!$B$100</definedName>
    <definedName name="_z3lcbu">'_引擎'!$B$101</definedName>
    <definedName name="_z4kqsx">'_引擎'!$B$102</definedName>
    <definedName name="_zehl1m">'_引擎'!$B$103</definedName>
    <definedName name="_JZJW_ORIGIN" hidden="1">"JIEZIJIUWEI-2026-V1"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###"/>
    <numFmt numFmtId="165" formatCode="0.######%"/>
    <numFmt numFmtId="166" formatCode="#,##0.0"/>
    <numFmt numFmtId="167" formatCode="0.0000"/>
    <numFmt numFmtId="168" formatCode="0.0%"/>
    <numFmt numFmtId="169" formatCode="0.000"/>
    <numFmt numFmtId="170" formatCode="0.0"/>
  </numFmts>
  <fonts count="11">
    <font>
      <name val="Calibri"/>
      <family val="2"/>
      <color theme="1"/>
      <sz val="11"/>
      <scheme val="minor"/>
    </font>
    <font>
      <name val="微软雅黑"/>
      <b val="1"/>
      <color rgb="001A1A1A"/>
      <sz val="16"/>
    </font>
    <font>
      <name val="微软雅黑"/>
      <color rgb="007F7F7F"/>
      <sz val="9"/>
    </font>
    <font>
      <name val="微软雅黑"/>
      <b val="1"/>
      <color rgb="001F3864"/>
      <sz val="10"/>
    </font>
    <font>
      <name val="微软雅黑"/>
      <color rgb="001A1A1A"/>
      <sz val="10"/>
    </font>
    <font>
      <name val="微软雅黑"/>
      <b val="1"/>
      <color rgb="001A1A1A"/>
      <sz val="13"/>
    </font>
    <font>
      <name val="微软雅黑"/>
      <b val="1"/>
      <color rgb="00FFFFFF"/>
      <sz val="10"/>
    </font>
    <font>
      <name val="微软雅黑"/>
      <b val="1"/>
      <color rgb="000000C0"/>
      <sz val="10"/>
    </font>
    <font>
      <name val="微软雅黑"/>
      <b val="1"/>
      <color rgb="00BF8F00"/>
      <sz val="9"/>
    </font>
    <font>
      <name val="微软雅黑"/>
      <color rgb="007F7F7F"/>
      <sz val="10"/>
    </font>
    <font>
      <name val="微软雅黑"/>
      <b val="1"/>
      <color rgb="001A1A1A"/>
      <sz val="2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0"/>
      </patternFill>
    </fill>
  </fills>
  <borders count="24">
    <border>
      <left/>
      <right/>
      <top/>
      <bottom/>
      <diagonal/>
    </border>
    <border>
      <bottom style="medium">
        <color rgb="001F3864"/>
      </bottom>
    </border>
    <border>
      <bottom style="thin">
        <color rgb="001F3864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thin">
        <color rgb="00D9D9D9"/>
      </bottom>
    </border>
    <border>
      <left style="thin">
        <color rgb="00BFBFBF"/>
      </left>
      <top style="thin">
        <color rgb="00BFBFBF"/>
      </top>
      <bottom style="hair">
        <color rgb="00D9D9D9"/>
      </bottom>
    </border>
    <border>
      <top style="thin">
        <color rgb="00BFBFBF"/>
      </top>
      <bottom style="hair">
        <color rgb="00D9D9D9"/>
      </bottom>
    </border>
    <border>
      <right style="thin">
        <color rgb="00BFBFBF"/>
      </right>
      <top style="thin">
        <color rgb="00BFBFBF"/>
      </top>
      <bottom style="hair">
        <color rgb="00D9D9D9"/>
      </bottom>
    </border>
    <border>
      <left style="thin">
        <color rgb="00BFBFBF"/>
      </left>
      <bottom style="hair">
        <color rgb="00D9D9D9"/>
      </bottom>
    </border>
    <border>
      <bottom style="hair">
        <color rgb="00D9D9D9"/>
      </bottom>
    </border>
    <border>
      <right style="thin">
        <color rgb="00BFBFBF"/>
      </right>
      <bottom style="hair">
        <color rgb="00D9D9D9"/>
      </bottom>
    </border>
    <border>
      <left style="thin">
        <color rgb="00BFBFBF"/>
      </left>
      <bottom style="thin">
        <color rgb="00BFBFBF"/>
      </bottom>
    </border>
    <border>
      <bottom style="thin">
        <color rgb="00BFBFBF"/>
      </bottom>
    </border>
    <border>
      <right style="thin">
        <color rgb="00BFBFBF"/>
      </right>
      <bottom style="thin">
        <color rgb="00BFBFBF"/>
      </bottom>
    </border>
    <border>
      <left style="thin">
        <color rgb="00BFBFBF"/>
      </left>
      <top style="thin">
        <color rgb="00BFBFBF"/>
      </top>
      <bottom style="medium">
        <color rgb="001F3864"/>
      </bottom>
    </border>
    <border>
      <top style="thin">
        <color rgb="00BFBFBF"/>
      </top>
      <bottom style="medium">
        <color rgb="001F3864"/>
      </bottom>
    </border>
    <border>
      <right style="thin">
        <color rgb="00BFBFBF"/>
      </right>
      <top style="thin">
        <color rgb="00BFBFBF"/>
      </top>
      <bottom style="medium">
        <color rgb="001F3864"/>
      </bottom>
    </border>
    <border>
      <left/>
      <right/>
      <top style="medium">
        <color rgb="001F3864"/>
      </top>
      <bottom/>
    </border>
    <border>
      <left/>
      <right/>
      <top/>
      <bottom style="hair">
        <color rgb="00D9D9D9"/>
      </bottom>
    </border>
    <border>
      <left/>
      <right style="hair">
        <color rgb="00D9D9D9"/>
      </right>
      <top style="medium">
        <color rgb="001F3864"/>
      </top>
      <bottom/>
    </border>
    <border>
      <left/>
      <right style="hair">
        <color rgb="00D9D9D9"/>
      </right>
      <top/>
      <bottom/>
    </border>
    <border>
      <left/>
      <right style="hair">
        <color rgb="00D9D9D9"/>
      </right>
      <top/>
      <bottom style="hair">
        <color rgb="00D9D9D9"/>
      </bottom>
    </border>
    <border>
      <left/>
      <right/>
      <top style="hair">
        <color rgb="00D9D9D9"/>
      </top>
      <bottom/>
    </border>
    <border>
      <left/>
      <right/>
      <top style="hair">
        <color rgb="00D9D9D9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vertical="top" wrapText="1"/>
      <protection locked="1" hidden="1"/>
    </xf>
    <xf numFmtId="0" fontId="3" fillId="0" borderId="0" applyAlignment="1" applyProtection="1" pivotButton="0" quotePrefix="0" xfId="0">
      <alignment vertical="top" wrapText="1"/>
      <protection locked="1" hidden="1"/>
    </xf>
    <xf numFmtId="0" fontId="4" fillId="0" borderId="0" applyAlignment="1" applyProtection="1" pivotButton="0" quotePrefix="0" xfId="0">
      <alignment vertical="top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Alignment="1" applyProtection="1" pivotButton="0" quotePrefix="0" xfId="0">
      <alignment horizontal="left" vertical="center"/>
      <protection locked="1" hidden="1"/>
    </xf>
    <xf numFmtId="0" fontId="9" fillId="0" borderId="0" applyAlignment="1" applyProtection="1" pivotButton="0" quotePrefix="0" xfId="0">
      <alignment horizontal="right" vertical="center"/>
      <protection locked="1" hidden="1"/>
    </xf>
    <xf numFmtId="0" fontId="2" fillId="0" borderId="0" applyAlignment="1" applyProtection="1" pivotButton="0" quotePrefix="0" xfId="0">
      <alignment horizontal="left" vertical="center"/>
      <protection locked="1" hidden="1"/>
    </xf>
    <xf numFmtId="0" fontId="2" fillId="0" borderId="17" applyAlignment="1" applyProtection="1" pivotButton="0" quotePrefix="0" xfId="0">
      <alignment horizontal="center" vertical="center"/>
      <protection locked="1" hidden="1"/>
    </xf>
    <xf numFmtId="0" fontId="0" fillId="0" borderId="1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169" fontId="10" fillId="0" borderId="0" applyAlignment="1" applyProtection="1" pivotButton="0" quotePrefix="0" xfId="0">
      <alignment horizontal="center" vertical="center"/>
      <protection locked="1" hidden="1"/>
    </xf>
    <xf numFmtId="0" fontId="0" fillId="0" borderId="20" applyProtection="1" pivotButton="0" quotePrefix="0" xfId="0">
      <protection locked="1" hidden="1"/>
    </xf>
    <xf numFmtId="10" fontId="10" fillId="0" borderId="0" applyAlignment="1" applyProtection="1" pivotButton="0" quotePrefix="0" xfId="0">
      <alignment horizontal="center" vertical="center"/>
      <protection locked="1" hidden="1"/>
    </xf>
    <xf numFmtId="170" fontId="10" fillId="0" borderId="0" applyAlignment="1" applyProtection="1" pivotButton="0" quotePrefix="0" xfId="0">
      <alignment horizontal="center" vertical="center"/>
      <protection locked="1" hidden="1"/>
    </xf>
    <xf numFmtId="3" fontId="10" fillId="0" borderId="0" applyAlignment="1" applyProtection="1" pivotButton="0" quotePrefix="0" xfId="0">
      <alignment horizontal="center" vertical="center"/>
      <protection locked="1" hidden="1"/>
    </xf>
    <xf numFmtId="0" fontId="2" fillId="0" borderId="18" applyAlignment="1" applyProtection="1" pivotButton="0" quotePrefix="0" xfId="0">
      <alignment horizontal="center" vertical="center"/>
      <protection locked="1" hidden="1"/>
    </xf>
    <xf numFmtId="0" fontId="0" fillId="0" borderId="18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2" fillId="0" borderId="22" applyAlignment="1" applyProtection="1" pivotButton="0" quotePrefix="0" xfId="0">
      <alignment horizontal="left" vertical="center"/>
      <protection locked="1" hidden="1"/>
    </xf>
    <xf numFmtId="0" fontId="0" fillId="0" borderId="23" applyProtection="1" pivotButton="0" quotePrefix="0" xfId="0">
      <protection locked="1" hidden="1"/>
    </xf>
    <xf numFmtId="0" fontId="2" fillId="0" borderId="22" applyAlignment="1" applyProtection="1" pivotButton="0" quotePrefix="0" xfId="0">
      <alignment horizontal="right" vertical="center"/>
      <protection locked="1" hidden="1"/>
    </xf>
    <xf numFmtId="0" fontId="5" fillId="0" borderId="0" applyProtection="1" pivotButton="0" quotePrefix="0" xfId="0">
      <protection locked="1" hidden="1"/>
    </xf>
    <xf numFmtId="0" fontId="2" fillId="0" borderId="0" applyProtection="1" pivotButton="0" quotePrefix="0" xfId="0">
      <protection locked="1" hidden="1"/>
    </xf>
    <xf numFmtId="0" fontId="6" fillId="2" borderId="1" applyAlignment="1" applyProtection="1" pivotButton="0" quotePrefix="0" xfId="0">
      <alignment horizontal="center" vertical="center" wrapText="1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0" fillId="0" borderId="2" applyProtection="1" pivotButton="0" quotePrefix="0" xfId="0">
      <protection locked="1" hidden="1"/>
    </xf>
    <xf numFmtId="0" fontId="4" fillId="0" borderId="5" applyProtection="1" pivotButton="0" quotePrefix="0" xfId="0">
      <protection locked="1" hidden="1"/>
    </xf>
    <xf numFmtId="10" fontId="4" fillId="0" borderId="6" applyAlignment="1" applyProtection="1" pivotButton="0" quotePrefix="0" xfId="0">
      <alignment horizontal="right"/>
      <protection locked="1" hidden="1"/>
    </xf>
    <xf numFmtId="0" fontId="2" fillId="0" borderId="7" applyProtection="1" pivotButton="0" quotePrefix="0" xfId="0">
      <protection locked="1" hidden="1"/>
    </xf>
    <xf numFmtId="0" fontId="4" fillId="0" borderId="0" applyProtection="1" pivotButton="0" quotePrefix="0" xfId="0">
      <protection locked="1" hidden="1"/>
    </xf>
    <xf numFmtId="0" fontId="7" fillId="3" borderId="3" applyAlignment="1" applyProtection="1" pivotButton="0" quotePrefix="0" xfId="0">
      <alignment horizontal="center"/>
      <protection locked="0" hidden="0"/>
    </xf>
    <xf numFmtId="0" fontId="4" fillId="0" borderId="8" applyProtection="1" pivotButton="0" quotePrefix="0" xfId="0">
      <protection locked="1" hidden="1"/>
    </xf>
    <xf numFmtId="10" fontId="4" fillId="0" borderId="9" applyAlignment="1" applyProtection="1" pivotButton="0" quotePrefix="0" xfId="0">
      <alignment horizontal="right"/>
      <protection locked="1" hidden="1"/>
    </xf>
    <xf numFmtId="0" fontId="2" fillId="0" borderId="10" applyProtection="1" pivotButton="0" quotePrefix="0" xfId="0">
      <protection locked="1" hidden="1"/>
    </xf>
    <xf numFmtId="0" fontId="2" fillId="0" borderId="0" applyAlignment="1" applyProtection="1" pivotButton="0" quotePrefix="0" xfId="0">
      <alignment wrapText="1"/>
      <protection locked="1" hidden="1"/>
    </xf>
    <xf numFmtId="166" fontId="4" fillId="0" borderId="9" applyAlignment="1" applyProtection="1" pivotButton="0" quotePrefix="0" xfId="0">
      <alignment horizontal="right"/>
      <protection locked="1" hidden="1"/>
    </xf>
    <xf numFmtId="2" fontId="4" fillId="0" borderId="9" applyAlignment="1" applyProtection="1" pivotButton="0" quotePrefix="0" xfId="0">
      <alignment horizontal="right"/>
      <protection locked="1" hidden="1"/>
    </xf>
    <xf numFmtId="167" fontId="4" fillId="0" borderId="9" applyAlignment="1" applyProtection="1" pivotButton="0" quotePrefix="0" xfId="0">
      <alignment horizontal="right"/>
      <protection locked="1" hidden="1"/>
    </xf>
    <xf numFmtId="164" fontId="7" fillId="3" borderId="3" applyAlignment="1" applyProtection="1" pivotButton="0" quotePrefix="0" xfId="0">
      <alignment horizontal="right"/>
      <protection locked="0" hidden="0"/>
    </xf>
    <xf numFmtId="0" fontId="4" fillId="0" borderId="11" applyProtection="1" pivotButton="0" quotePrefix="0" xfId="0">
      <protection locked="1" hidden="1"/>
    </xf>
    <xf numFmtId="168" fontId="4" fillId="0" borderId="12" applyAlignment="1" applyProtection="1" pivotButton="0" quotePrefix="0" xfId="0">
      <alignment horizontal="right"/>
      <protection locked="1" hidden="1"/>
    </xf>
    <xf numFmtId="0" fontId="2" fillId="0" borderId="13" applyProtection="1" pivotButton="0" quotePrefix="0" xfId="0">
      <protection locked="1" hidden="1"/>
    </xf>
    <xf numFmtId="168" fontId="4" fillId="0" borderId="4" applyAlignment="1" applyProtection="1" pivotButton="0" quotePrefix="0" xfId="0">
      <alignment horizontal="right"/>
      <protection locked="1" hidden="1"/>
    </xf>
    <xf numFmtId="0" fontId="4" fillId="0" borderId="4" applyAlignment="1" applyProtection="1" pivotButton="0" quotePrefix="0" xfId="0">
      <alignment horizontal="center"/>
      <protection locked="1" hidden="1"/>
    </xf>
    <xf numFmtId="165" fontId="7" fillId="3" borderId="3" applyAlignment="1" applyProtection="1" pivotButton="0" quotePrefix="0" xfId="0">
      <alignment horizontal="right"/>
      <protection locked="0" hidden="0"/>
    </xf>
    <xf numFmtId="0" fontId="7" fillId="3" borderId="3" applyAlignment="1" applyProtection="1" pivotButton="0" quotePrefix="0" xfId="0">
      <alignment horizontal="right"/>
      <protection locked="0" hidden="0"/>
    </xf>
    <xf numFmtId="166" fontId="4" fillId="0" borderId="4" applyAlignment="1" applyProtection="1" pivotButton="0" quotePrefix="0" xfId="0">
      <alignment horizontal="right"/>
      <protection locked="1" hidden="1"/>
    </xf>
    <xf numFmtId="167" fontId="4" fillId="0" borderId="4" applyAlignment="1" applyProtection="1" pivotButton="0" quotePrefix="0" xfId="0">
      <alignment horizontal="right"/>
      <protection locked="1" hidden="1"/>
    </xf>
    <xf numFmtId="0" fontId="8" fillId="0" borderId="0" applyProtection="1" pivotButton="0" quotePrefix="0" xfId="0">
      <protection locked="1" hidden="1"/>
    </xf>
    <xf numFmtId="0" fontId="6" fillId="2" borderId="14" applyAlignment="1" applyProtection="1" pivotButton="0" quotePrefix="0" xfId="0">
      <alignment horizontal="center" vertical="center" wrapText="1"/>
      <protection locked="1" hidden="1"/>
    </xf>
    <xf numFmtId="0" fontId="6" fillId="2" borderId="15" applyAlignment="1" applyProtection="1" pivotButton="0" quotePrefix="0" xfId="0">
      <alignment horizontal="center" vertical="center" wrapText="1"/>
      <protection locked="1" hidden="1"/>
    </xf>
    <xf numFmtId="0" fontId="6" fillId="2" borderId="16" applyAlignment="1" applyProtection="1" pivotButton="0" quotePrefix="0" xfId="0">
      <alignment horizontal="center" vertical="center" wrapText="1"/>
      <protection locked="1" hidden="1"/>
    </xf>
    <xf numFmtId="1" fontId="4" fillId="0" borderId="8" applyAlignment="1" applyProtection="1" pivotButton="0" quotePrefix="0" xfId="0">
      <alignment horizontal="right"/>
      <protection locked="1" hidden="1"/>
    </xf>
    <xf numFmtId="166" fontId="4" fillId="0" borderId="10" applyAlignment="1" applyProtection="1" pivotButton="0" quotePrefix="0" xfId="0">
      <alignment horizontal="right"/>
      <protection locked="1" hidden="1"/>
    </xf>
    <xf numFmtId="1" fontId="4" fillId="0" borderId="11" applyAlignment="1" applyProtection="1" pivotButton="0" quotePrefix="0" xfId="0">
      <alignment horizontal="right"/>
      <protection locked="1" hidden="1"/>
    </xf>
    <xf numFmtId="166" fontId="4" fillId="0" borderId="12" applyAlignment="1" applyProtection="1" pivotButton="0" quotePrefix="0" xfId="0">
      <alignment horizontal="right"/>
      <protection locked="1" hidden="1"/>
    </xf>
    <xf numFmtId="166" fontId="4" fillId="0" borderId="13" applyAlignment="1" applyProtection="1" pivotButton="0" quotePrefix="0" xfId="0">
      <alignment horizontal="right"/>
      <protection locked="1" hidden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C00000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运营期净现金流与累计回收（万元）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逐年税后净现金流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'测算'!$B$71:$B$95</f>
            </numRef>
          </cat>
          <val>
            <numRef>
              <f>'测算'!$J$71:$J$95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累计税后净现金流</v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'测算'!$K$71:$K$95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b"/>
    </legend>
    <plotVisOnly val="0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首年收益构成（万元）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首年收益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'测算'!$G$40:$G$46</f>
            </numRef>
          </cat>
          <val>
            <numRef>
              <f>'测算'!$H$40:$H$46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0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综合到户电价对比（元/kWh）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综合到户电价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'测算'!$G$64:$G$65</f>
            </numRef>
          </cat>
          <val>
            <numRef>
              <f>'测算'!$H$64:$H$65</f>
            </numRef>
          </val>
        </ser>
        <dLbls>
          <numFmt formatCode="0.000"/>
          <dLblPos val="outEnd"/>
          <showLegendKey val="0"/>
          <showVal val="1"/>
          <showCatName val="0"/>
          <showSerName val="0"/>
          <showPercent val="0"/>
          <showBubbleSize val="0"/>
        </dLbls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投资构成（%）</a:t>
            </a:r>
          </a:p>
        </rich>
      </tx>
      <overlay val="0"/>
    </title>
    <plotArea>
      <doughnutChart>
        <varyColors val="1"/>
        <ser>
          <idx val="0"/>
          <order val="0"/>
          <tx>
            <v>投资构成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509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7FB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FA9CE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FD0E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0A0A0"/>
              </a:solidFill>
              <a:ln xmlns:a="http://schemas.openxmlformats.org/drawingml/2006/main">
                <a:prstDash val="solid"/>
              </a:ln>
            </spPr>
          </dPt>
          <cat>
            <numRef>
              <f>'测算'!$G$52:$G$58</f>
            </numRef>
          </cat>
          <val>
            <numRef>
              <f>'测算'!$H$52:$H$58</f>
            </numRef>
          </val>
        </ser>
        <dLbls>
          <numFmt formatCode="0.0%"/>
          <showLegendKey val="0"/>
          <showVal val="0"/>
          <showCatName val="0"/>
          <showSerName val="0"/>
          <showPercent val="1"/>
          <showBubbleSize val="0"/>
        </dLbls>
        <firstSliceAng val="0"/>
        <holeSize val="55"/>
      </doughnutChart>
    </plotArea>
    <legend>
      <legendPos val="r"/>
    </legend>
    <plotVisOnly val="0"/>
    <dispBlanksAs val="gap"/>
  </chart>
</chartSpace>
</file>

<file path=xl/comments/comment1.xml><?xml version="1.0" encoding="utf-8"?>
<comments xmlns="http://schemas.openxmlformats.org/spreadsheetml/2006/main">
  <authors>
    <author>介子九维 JIEZIJIUWEI</author>
  </authors>
  <commentList>
    <comment ref="C5" authorId="0" shapeId="0">
      <text>
        <t>电量结构与费用结构（首年电量平衡、购电费、需量电费与收益分项）按典型日逐小时调度模拟预先算定，三个电价场景覆盖代理购电、市场化购电与按容量计费三种路径；电价场景与「典型日负荷形态」两个选项各自独立，任意组合均已预设结果。场景内的投资、融资、折旧、税务、折现等财务参数均可在下方自由调整。需要其他电价路径或资产组合时，请使用介子九维小程序在线测算。</t>
      </text>
    </comment>
    <comment ref="C7" authorId="0" shapeId="0">
      <text>
        <t>典型日日内负荷曲线的形态，决定储能充放时序、需量峰值与峰谷套利空间。白天生产型负荷集中于白班、与光伏出力叠合度高；晚高峰型负荷晚间抬升、晚间需量峰值最高；连续三班型 24 小时平直、需量峰值最低。三种形态各自按逐小时调度模拟预先算定电量与费用结构，切换后收益分项、需量电费与财务指标随之重算。</t>
      </text>
    </comment>
    <comment ref="C11" authorId="0" shapeId="0">
      <text>
        <t>这是光伏单位造价（EPC全包），与光伏装机相乘得到光伏投资额。有光伏装机时此项为硬必填，缺此项无法核算光伏投资与总投资。
示例：3.0 元/W</t>
      </text>
    </comment>
    <comment ref="C12" authorId="0" shapeId="0">
      <text>
        <t>这是风电单位造价，与风电装机相乘得到风电投资额。有风电装机时此项为硬必填，缺此项无法核算风电投资与总投资。
示例：4.0~5.0 元/W</t>
      </text>
    </comment>
    <comment ref="C13" authorId="0" shapeId="0">
      <text>
        <t>这是储能单位造价（按容量计），与储能容量相乘得到储能投资额。有储能容量时此项为硬必填，缺此项无法核算储能投资与总投资。
示例：1.0 元/Wh</t>
      </text>
    </comment>
    <comment ref="C14" authorId="0" shapeId="0">
      <text>
        <t>这是柴发单位造价，与柴发容量相乘得到柴发投资额。有柴发配置时这是该填项，缺此项投资口径可能偏低。
示例：0.5 元/W</t>
      </text>
    </comment>
    <comment ref="C15" authorId="0" shapeId="0">
      <text>
        <t>这是充电桩建设投资总额。开启充电桩运营后这是该填项，缺此项投资口径可能偏低。
示例：300 万元</t>
      </text>
    </comment>
    <comment ref="C16" authorId="0" shapeId="0">
      <text>
        <t>这是微电网内部线路、变压器增容等接网配套投资，以及配电工程、监控保护等其他投资，这是微电网项目区别于常规并网电源的定义性组成部分。此项为硬必填，缺此项总投资将明显偏低。
示例：800 万元</t>
      </text>
    </comment>
    <comment ref="G16" authorId="0" shapeId="0">
      <text>
        <t>《关于开展工业绿色微电网建设的通知》（工信厅联节〔2025〕77号，2025年发布）：新建可再生能源年就近就地自消纳原则上不低于60%</t>
      </text>
    </comment>
    <comment ref="C17" authorId="0" shapeId="0">
      <text>
        <t>这是其他电源投资总额。配置了其他电源装机或年发电量后这是该填项，缺此项投资口径可能偏低。
无则填0</t>
      </text>
    </comment>
    <comment ref="G17" authorId="0" shapeId="0">
      <text>
        <t>参照《关于加快推动新型储能和智能微电网发展的指导意见》（发改能源〔2024〕1339号）口径</t>
      </text>
    </comment>
    <comment ref="G18" authorId="0" shapeId="0">
      <text>
        <t>选择就近消纳（发改价格〔2025〕1192号）路径时适用</t>
      </text>
    </comment>
    <comment ref="C20" authorId="0" shapeId="0">
      <text>
        <t>可再生电源年出力衰减率，作用于自发自用节省、余电上网与环境价值等随出力变动的收益项。</t>
      </text>
    </comment>
    <comment ref="C21" authorId="0" shapeId="0">
      <text>
        <t>这是储能达到循环寿命、需整体更换的年份。磷酸铁锂储能典型可用约10~15年，按实际选型与循环工况填写。选填，若不需要在现金流中单列更换支出，可保持默认或将年份设在运营期之外使其不生效。
示例：第12年
更换支出当年全额费用化税前扣除，其进项税当年补入抵扣池，现金流出按含税全额。</t>
      </text>
    </comment>
    <comment ref="C22" authorId="0" shapeId="0">
      <text>
        <t>这是储能更换费用相对储能初始投资的比例（分母是储能这一项的初始投资，不含光伏、风电等其它投资）。更换费用＝储能初始投资×本比例，在更换年份当年一次性计入现金流，不逐年分摊。选填，电池价格逐年下降，通常取初装投资的折扣值。
示例：50%（第12年按储能初投资的一半计更换成本）</t>
      </text>
    </comment>
    <comment ref="C23" authorId="0" shapeId="0">
      <text>
        <t>这是年运维费占总投资比例，请填不含税金额。这是该填项，留空按示例值参与核算，可按企业实际情况修改。
示例：1.5%</t>
      </text>
    </comment>
    <comment ref="C24" authorId="0" shapeId="0">
      <text>
        <t>这是年保险费占总投资比例，请填不含税金额。这是该填项，留空按示例值参与核算，可按企业实际情况修改。
示例：0.25%</t>
      </text>
    </comment>
    <comment ref="C25" authorId="0" shapeId="0">
      <text>
        <t>这是运营期每年支付的土地或场地租赁费用，请填不含税金额。地面电站、租地项目按合同年租金填写；自有土地或屋顶项目填0。一次性征地款不填此项，应计入配电工程投资等建设投资科目。选填，没有可不填，按0参与核算。
示例：0 万元/年（自有土地）</t>
      </text>
    </comment>
    <comment ref="C28" authorId="0" shapeId="0">
      <text>
        <t>这是资本金占总投资比例，其余部分按长期贷款测算。此项为硬必填，数值须大于零且不超过100%。
示例：30%</t>
      </text>
    </comment>
    <comment ref="C29" authorId="0" shapeId="0">
      <text>
        <t>这是长期贷款年利率（等额本息）。资本金比例小于100%、存在贷款融资时这是该填项，留空按无息贷款计算；资本金比例为100%时可不填。行业惯例值，可按企业实际情况修改。
示例：4.5%</t>
      </text>
    </comment>
    <comment ref="C30" authorId="0" shapeId="0">
      <text>
        <t>这是贷款年限。资本金比例小于100%时此项为硬必填，缺此项无法核算还本付息安排；贷款年限超过运营期时，超出部分的未偿本金会在期末一次性从资本金现金流中扣减，建议不超过运营期。
示例：15 年</t>
      </text>
    </comment>
    <comment ref="C31" authorId="0" shapeId="0">
      <text>
        <t>这是运营期（财务评价期），是现金流评价期的年数。此项为硬必填，缺此项无法核算现金流与各项投资回报指标。
示例：25 年
本工作簿现金流表最长支持25年。</t>
      </text>
    </comment>
    <comment ref="C32" authorId="0" shapeId="0">
      <text>
        <t>这是折旧年限（年限平均法）。此项为硬必填，缺此项无法核算折旧与税后现金流。行业惯例值，可按企业实际情况修改。
示例：20 年
年折旧额分母恒用税法折旧年限；计提年限不超过运营期，期末未折旧账面净值随余值一并回收。</t>
      </text>
    </comment>
    <comment ref="C33" authorId="0" shapeId="0">
      <text>
        <t>这是期末残值率。选填，没有可不填，按示例值参与核算，可按企业实际情况修改。
示例：5%</t>
      </text>
    </comment>
    <comment ref="C34" authorId="0" shapeId="0">
      <text>
        <t>这是企业所得税率，用于核算税后现金流与投资回报指标。选填，没有可不填，按25%法定税率参与核算；享受优惠时仍建议保留税率参数，另用三免三减半开关处理。
示例：25%
当年应纳税所得额为负时按税法结转以后五个年度弥补。</t>
      </text>
    </comment>
    <comment ref="C35" authorId="0" shapeId="0">
      <text>
        <t>企业所得税三免三减半优惠（《公共基础设施项目企业所得税优惠目录（2008年版）》，财税〔2008〕116号）。能否享受须逐项核对，不是自动适用：①企业内部自建自用的项目不得享受（财税〔2008〕46号），单一企业自建自用的微电网通常属此情形，园区对多用户供电等对外经营形态才可能适用；②备案制项目能否等同于目录要求的“经核准”，实务中存在地区争议；③优惠项目所得须单独核算、合理分摊期间费用，未分开核算的不得享受。本工具按可再生投资占比加权近似分摊税额，正式申报以主管税务机关认定为准。若不确定是否适用，建议关闭本项另算一遍，对比两种情形的收益区间。
默认开启，请按项目实际情况核对后选择
本表默认按不享受的保守口径计算，确认符合条件后改为「是」。能否享受须逐项核对，不是自动适用：企业内部自建自用的项目不得享受（财税〔2008〕46号），单一企业自建自用的微电网通常属此情形；项目还须在优惠目录范围内、经政府投资主管部门批准（备案制项目能否等同于核准，实务中存在争议），且优惠项目所得单独核算。本工作簿按近似口径处理：优惠只作用于光伏、风电投资对应的份额（按投资占比分摊），储能、充电桩、柴发与配电投资不在优惠目录、不享受优惠。</t>
      </text>
    </comment>
    <comment ref="C36" authorId="0" shapeId="0">
      <text>
        <t>这是建设投资中可形成增值税进项税抵扣的比例（进项税池 = 总投资 × 该比例，折旧计税基数为总投资扣除进项税池）。设备购置进项税按13%税率抵扣，建筑安装按9%，综合比例取决于分项投资构成，上限为13/113（约11.5%）。这是该填项，留空按示例值参与核算，正式测算前请按分项投资估算表核实。
示例：10%</t>
      </text>
    </comment>
    <comment ref="C37" authorId="0" shapeId="0">
      <text>
        <t>这是财务基准收益率（折现率），用于NPV、动态回收期与LCOE。发电项目现行无官方基准值（《关于调整部分行业建设项目财务基准收益率的通知》（发改投资〔2013〕586号，2013年3月15日印发）仅调整了电网），微电网亦无专门行业基准，默认6%为行业惯例值，可按企业实际情况修改，行业可比参照普遍不低于6%。这是该填项，留空按示例值参与核算。
示例：6%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12024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24</row>
      <rowOff>0</rowOff>
    </from>
    <ext cx="3528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24</row>
      <rowOff>0</rowOff>
    </from>
    <ext cx="3528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24</row>
      <rowOff>0</rowOff>
    </from>
    <ext cx="3744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6" customWidth="1" min="2" max="2"/>
  </cols>
  <sheetData>
    <row r="1"/>
    <row r="2">
      <c r="B2" s="1" t="inlineStr">
        <is>
          <t>智能微电网经济评价 v3.3 · 介子九维 JIEZIJIUWEI</t>
        </is>
      </c>
    </row>
    <row r="3" ht="45" customHeight="1">
      <c r="B3" s="2" t="inlineStr">
        <is>
          <t>版本 v3.1 · 2026年7月13日 · 说明页补充就近消纳输配电费的1192号文单一容量制公式：就近消纳输配电费 = 容量电价 × 接入容量 × 12 ＋ 输配电度价 × 平均负荷率 × 730 × 12 × 接入容量，便于理解该项费用的构成。本工作簿该路径电价参数已按所选场景预置，此为纯文案说明，不改变计算结果。</t>
        </is>
      </c>
    </row>
    <row r="4" ht="30" customHeight="1">
      <c r="B4" s="2" t="inlineStr">
        <is>
          <t>来源：第四监管周期省级输配电价表（附件1），更新日期2026-07-10。区域电网输电价格表（附件2）仅在网站独立查询，不自动计入本测算公式。</t>
        </is>
      </c>
    </row>
    <row r="5">
      <c r="B5" s="3" t="inlineStr">
        <is>
          <t>分层测算说明</t>
        </is>
      </c>
    </row>
    <row r="6" ht="60" customHeight="1">
      <c r="B6" s="4" t="inlineStr">
        <is>
          <t>电量结构与费用结构（首年电量平衡、购电费、需量电费与收益七分项）按12个月×工作日/休息日共24个典型日的逐小时调度模拟预先算定，收入「测算」表。3个电价场景与3种典型日负荷形态两个选项各自独立、任意组合均已预设结果，用两个下拉选择；场景内的投资、融资、折旧、税务、折现等财务参数均可自由调整，全簿公式即时重算。需要其他电价路径、负荷曲线或资产组合时，请使用介子九维小程序在线测算。</t>
        </is>
      </c>
    </row>
    <row r="7">
      <c r="B7" s="4" t="inlineStr"/>
    </row>
    <row r="8">
      <c r="B8" s="3" t="inlineStr">
        <is>
          <t>电价场景</t>
        </is>
      </c>
    </row>
    <row r="9">
      <c r="B9" s="4" t="inlineStr">
        <is>
          <t>场景1　参考算例（代理购电·按需量）：山东并网型园区微电网，电网代理购电分时电价，需量计费；引擎参考算例原参数。</t>
        </is>
      </c>
    </row>
    <row r="10">
      <c r="B10" s="4" t="inlineStr">
        <is>
          <t>场景2　市场化购电（按需量）：同一资产与负荷，改为市场化交易购电（各档市场购电价+输配等平加），需量计费。</t>
        </is>
      </c>
    </row>
    <row r="11">
      <c r="B11" s="4" t="inlineStr">
        <is>
          <t>场景3　代理购电（按容量计费）：同一资产与负荷，代理购电路径，现行容（需）量电费改按变压器容量计费。</t>
        </is>
      </c>
    </row>
    <row r="12">
      <c r="B12" s="4" t="inlineStr"/>
    </row>
    <row r="13">
      <c r="B13" s="3" t="inlineStr">
        <is>
          <t>典型日负荷形态</t>
        </is>
      </c>
    </row>
    <row r="14">
      <c r="B14" s="4" t="inlineStr">
        <is>
          <t>白天生产型：负荷集中于白班，与光伏出力叠合度高，日间需量峰值明显。</t>
        </is>
      </c>
    </row>
    <row r="15">
      <c r="B15" s="4" t="inlineStr">
        <is>
          <t>晚高峰型：负荷晚间抬升，储能放电价值前移，晚间需量峰值最高。</t>
        </is>
      </c>
    </row>
    <row r="16">
      <c r="B16" s="4" t="inlineStr">
        <is>
          <t>连续三班型：24小时平直负荷，需量峰值最低，光伏与负荷叠合度较弱。</t>
        </is>
      </c>
    </row>
    <row r="17" ht="30" customHeight="1">
      <c r="B17" s="2" t="inlineStr">
        <is>
          <t>负荷形态改变日内24小时负荷曲线，进而改变储能充放时序、需量峰值与峰谷套利空间，对应的电量、费用与收益分项随之变化；光伏出力曲线不随负荷形态变。</t>
        </is>
      </c>
    </row>
    <row r="18" ht="30" customHeight="1">
      <c r="B18" s="2" t="inlineStr">
        <is>
          <t>各典型场景的资产配置相同（光伏10MW、储能5MW/10MWh、柴发2MW备用、年负荷6000万kWh并配200万kWh充电桩），场景差异仅在购电价格路径、容（需）量电费计费方式与典型日负荷形态。</t>
        </is>
      </c>
    </row>
    <row r="19">
      <c r="B19" s="4" t="inlineStr"/>
    </row>
    <row r="20">
      <c r="B20" s="3" t="inlineStr">
        <is>
          <t>使用方法</t>
        </is>
      </c>
    </row>
    <row r="21">
      <c r="B21" s="4" t="inlineStr">
        <is>
          <t>第一步：在「测算」表选择电价场景与典型日负荷形态，并按项目实际修改投资造价与财务参数（黄底单元格）。</t>
        </is>
      </c>
    </row>
    <row r="22">
      <c r="B22" s="4" t="inlineStr">
        <is>
          <t>第二步：查看结果区的关键指标、合规参考、收益构成与逐年现金流，全簿公式即时重算。</t>
        </is>
      </c>
    </row>
    <row r="23">
      <c r="B23" s="4" t="inlineStr">
        <is>
          <t>第三步：需要留存比对的方案，将本文件另存副本后再改参数，避免覆盖原方案。</t>
        </is>
      </c>
    </row>
    <row r="24" ht="30" customHeight="1">
      <c r="B24" s="4" t="inlineStr">
        <is>
          <t>Excel 版填写内容不会自动保存，填写后请另存为您自己的副本，即可长期保存并随时接着用；网页版与小程序版已支持本机自动留存填写内容。</t>
        </is>
      </c>
    </row>
    <row r="25">
      <c r="B25" s="4" t="inlineStr"/>
    </row>
    <row r="26">
      <c r="B26" s="3" t="inlineStr">
        <is>
          <t>测算口径</t>
        </is>
      </c>
    </row>
    <row r="27" ht="75" customHeight="1">
      <c r="B27" s="4" t="inlineStr">
        <is>
          <t>财务评价采用融资前（全投资）与融资后（资本金）双口径现金流；投资按含税全额期初流出，对外部收入（余电上网、充电服务费）计增值税销项并以进项池抵扣；折旧计税基数不含可抵扣进项税，年折旧额分母恒用税法折旧年限，期末回收固定资产余值（残值与未折旧账面净值）；储能更换当年费用化税前扣除、进项税补入抵扣池；亏损按税法结转以后五个年度弥补，全投资与资本金口径各设独立亏损池；三免三减半优惠按光伏、风电投资占比份额化。调峰辅助服务收益不建模（现货连续运行地区调峰品种退出，防止与峰谷套利重复计算）。</t>
        </is>
      </c>
    </row>
    <row r="28">
      <c r="B28" s="4" t="inlineStr"/>
    </row>
    <row r="29">
      <c r="B29" s="3" t="inlineStr">
        <is>
          <t>版权与使用许可</t>
        </is>
      </c>
    </row>
    <row r="30">
      <c r="B30" s="4" t="inlineStr">
        <is>
          <t>本工具由介子九维（JIEZIJIUWEI）制作并享有著作权。</t>
        </is>
      </c>
    </row>
    <row r="31">
      <c r="B31" s="4" t="inlineStr">
        <is>
          <t>本工具免费提供给个人与企业内部评估使用，欢迎转发分享。</t>
        </is>
      </c>
    </row>
    <row r="32">
      <c r="B32" s="4" t="inlineStr">
        <is>
          <t>转发分享时请保留工具中的署名标识；不得售卖本工具，不得将其作为商业产品的组成部分再分发。</t>
        </is>
      </c>
    </row>
    <row r="33">
      <c r="B33" s="4" t="inlineStr">
        <is>
          <t>最新版本可通过微信公众号「介子九维」获取。</t>
        </is>
      </c>
    </row>
    <row r="34">
      <c r="B34" s="4" t="inlineStr"/>
    </row>
    <row r="35">
      <c r="B35" s="3" t="inlineStr">
        <is>
          <t>边界与免责</t>
        </is>
      </c>
    </row>
    <row r="36" ht="45" customHeight="1">
      <c r="B36" s="2" t="inlineStr">
        <is>
          <t>边界声明：全模型按不变价测算，收入与成本均不作年度价格增长放大；未计入建设期及建设期利息；未计入流动资金及其回收；贷款年限宜不大于运营期，超出部分的未偿本金在运营期末一次性扣减资本金现金流；回收期按累计现金流首次转正的年度线性插值。</t>
        </is>
      </c>
    </row>
    <row r="37">
      <c r="B37" s="2" t="inlineStr">
        <is>
          <t>结果仅供项目前期研判参考，不构成投资建议；正式决策以主管部门批复口径与项目可行性研究为准。</t>
        </is>
      </c>
    </row>
    <row r="38">
      <c r="B38" s="2" t="inlineStr">
        <is>
          <t>预设参数可直接使用，也可按项目实际逐项修改；正式测算前请结合项目实际核实取值。各参数的含义与填报要点见输入区单元格批注。</t>
        </is>
      </c>
    </row>
    <row r="39" ht="30" customHeight="1">
      <c r="B39" s="2" t="inlineStr">
        <is>
          <t>需求响应补偿标准、充电服务费、余电上网机制电量比例与结算价等场景内嵌参数为演示取值，正式测算前请通过介子九维小程序按项目所在地核实后重新出数。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7E"/>
  <pageMargins left="0.75" right="0.75" top="1" bottom="1" header="0.5" footer="0.5"/>
  <headerFooter>
    <oddHeader/>
    <oddFooter>&amp;L智能微电网经济评价 v3.3&amp;R介子九维 JIEZIJIUWEI · 版权所有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8" customHeight="1">
      <c r="A1" s="5" t="n"/>
      <c r="B1" s="6" t="inlineStr">
        <is>
          <t>智能微电网经济评价 · 总览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7" t="inlineStr">
        <is>
          <t>介子九维 JIEZIJIUWEI</t>
        </is>
      </c>
      <c r="Q1" s="5" t="n"/>
      <c r="R1" s="5" t="n"/>
      <c r="S1" s="5" t="n"/>
      <c r="T1" s="5" t="n"/>
      <c r="U1" s="5" t="n"/>
      <c r="V1" s="5" t="n"/>
    </row>
    <row r="2" ht="13" customHeight="1">
      <c r="A2" s="5" t="n"/>
      <c r="B2" s="8">
        <f>"所选场景下：税后全投资内部收益率 "&amp;TEXT(_z3ewnh,"0.00%")&amp;"，综合到户电价 "&amp;TEXT(_zmbbnb,"0.000")&amp;" 元/kWh，年节省 "&amp;TEXT(_zbx4ou,"#,##0")&amp;" 万元"</f>
        <v/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15" customHeight="1">
      <c r="A4" s="5" t="n"/>
      <c r="B4" s="9" t="inlineStr">
        <is>
          <t>综合到户电价</t>
        </is>
      </c>
      <c r="C4" s="10" t="n"/>
      <c r="D4" s="10" t="n"/>
      <c r="E4" s="11" t="n"/>
      <c r="F4" s="9" t="inlineStr">
        <is>
          <t>全投资内部收益率（税后）</t>
        </is>
      </c>
      <c r="G4" s="10" t="n"/>
      <c r="H4" s="10" t="n"/>
      <c r="I4" s="11" t="n"/>
      <c r="J4" s="9" t="inlineStr">
        <is>
          <t>资本金内部收益率</t>
        </is>
      </c>
      <c r="K4" s="10" t="n"/>
      <c r="L4" s="10" t="n"/>
      <c r="M4" s="11" t="n"/>
      <c r="N4" s="9" t="inlineStr">
        <is>
          <t>静态回收期</t>
        </is>
      </c>
      <c r="O4" s="10" t="n"/>
      <c r="P4" s="10" t="n"/>
      <c r="Q4" s="11" t="n"/>
      <c r="R4" s="9" t="inlineStr">
        <is>
          <t>年节省额</t>
        </is>
      </c>
      <c r="S4" s="10" t="n"/>
      <c r="T4" s="10" t="n"/>
      <c r="U4" s="10" t="n"/>
      <c r="V4" s="5" t="n"/>
    </row>
    <row r="5" ht="34" customHeight="1">
      <c r="A5" s="5" t="n"/>
      <c r="B5" s="12">
        <f>_zmbbnb</f>
        <v/>
      </c>
      <c r="C5" s="5" t="n"/>
      <c r="D5" s="5" t="n"/>
      <c r="E5" s="13" t="n"/>
      <c r="F5" s="14">
        <f>_z3ewnh</f>
        <v/>
      </c>
      <c r="G5" s="5" t="n"/>
      <c r="H5" s="5" t="n"/>
      <c r="I5" s="13" t="n"/>
      <c r="J5" s="14">
        <f>_z2tbwe</f>
        <v/>
      </c>
      <c r="K5" s="5" t="n"/>
      <c r="L5" s="5" t="n"/>
      <c r="M5" s="13" t="n"/>
      <c r="N5" s="15">
        <f>_z3lcbu</f>
        <v/>
      </c>
      <c r="O5" s="5" t="n"/>
      <c r="P5" s="5" t="n"/>
      <c r="Q5" s="13" t="n"/>
      <c r="R5" s="16">
        <f>_zbx4ou</f>
        <v/>
      </c>
      <c r="S5" s="5" t="n"/>
      <c r="T5" s="5" t="n"/>
      <c r="U5" s="5" t="n"/>
      <c r="V5" s="5" t="n"/>
    </row>
    <row r="6" ht="15" customHeight="1">
      <c r="A6" s="5" t="n"/>
      <c r="B6" s="17" t="inlineStr">
        <is>
          <t>元/kWh</t>
        </is>
      </c>
      <c r="C6" s="18" t="n"/>
      <c r="D6" s="18" t="n"/>
      <c r="E6" s="19" t="n"/>
      <c r="F6" s="17" t="inlineStr">
        <is>
          <t>主评价指标</t>
        </is>
      </c>
      <c r="G6" s="18" t="n"/>
      <c r="H6" s="18" t="n"/>
      <c r="I6" s="19" t="n"/>
      <c r="J6" s="17" t="inlineStr"/>
      <c r="K6" s="18" t="n"/>
      <c r="L6" s="18" t="n"/>
      <c r="M6" s="19" t="n"/>
      <c r="N6" s="17" t="inlineStr">
        <is>
          <t>年</t>
        </is>
      </c>
      <c r="O6" s="18" t="n"/>
      <c r="P6" s="18" t="n"/>
      <c r="Q6" s="19" t="n"/>
      <c r="R6" s="17" t="inlineStr">
        <is>
          <t>万元</t>
        </is>
      </c>
      <c r="S6" s="18" t="n"/>
      <c r="T6" s="18" t="n"/>
      <c r="U6" s="18" t="n"/>
      <c r="V6" s="5" t="n"/>
    </row>
    <row r="7" ht="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15.5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 ht="15.5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 ht="15.5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 ht="15.5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 ht="15.5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 ht="15.5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 ht="15.5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 ht="15.5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 ht="15.5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5.5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5.5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 ht="15.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 ht="15.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 ht="15.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 ht="15.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5.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5.5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 ht="15.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 ht="15.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 ht="15.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 ht="15.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 ht="15.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 ht="15.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5.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5.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 ht="15.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5.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 ht="15.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.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.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.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.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.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6" customHeight="1">
      <c r="A41" s="5" t="n"/>
      <c r="B41" s="20" t="inlineStr">
        <is>
          <t>结果随「测算」表输入即时更新；测算口径与边界声明见「说明」。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2" t="inlineStr">
        <is>
          <t>介子九维 JIEZIJIUWEI</t>
        </is>
      </c>
      <c r="Q41" s="21" t="n"/>
      <c r="R41" s="21" t="n"/>
      <c r="S41" s="21" t="n"/>
      <c r="T41" s="21" t="n"/>
      <c r="U41" s="21" t="n"/>
      <c r="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7E"/>
  <mergeCells count="20">
    <mergeCell ref="B41:O41"/>
    <mergeCell ref="B6:E6"/>
    <mergeCell ref="B5:E5"/>
    <mergeCell ref="N6:Q6"/>
    <mergeCell ref="R5:U5"/>
    <mergeCell ref="B4:E4"/>
    <mergeCell ref="F4:I4"/>
    <mergeCell ref="N4:Q4"/>
    <mergeCell ref="B2:U2"/>
    <mergeCell ref="J5:M5"/>
    <mergeCell ref="F6:I6"/>
    <mergeCell ref="B1:O1"/>
    <mergeCell ref="R4:U4"/>
    <mergeCell ref="J6:M6"/>
    <mergeCell ref="F5:I5"/>
    <mergeCell ref="R6:U6"/>
    <mergeCell ref="N5:Q5"/>
    <mergeCell ref="P1:U1"/>
    <mergeCell ref="P41:U41"/>
    <mergeCell ref="J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典型场景数据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>
      <c r="A2" s="5" t="inlineStr">
        <is>
          <t>电价场景</t>
        </is>
      </c>
      <c r="B2" s="5" t="inlineStr">
        <is>
          <t>参考算例（代理购电·按需量）</t>
        </is>
      </c>
      <c r="C2" s="5" t="inlineStr">
        <is>
          <t>市场化购电（按需量）</t>
        </is>
      </c>
      <c r="D2" s="5" t="inlineStr">
        <is>
          <t>代理购电（按容量计费）</t>
        </is>
      </c>
      <c r="E2" s="5" t="n"/>
      <c r="F2" s="5" t="n"/>
      <c r="G2" s="5" t="n"/>
      <c r="H2" s="5" t="n"/>
      <c r="I2" s="5" t="n"/>
      <c r="J2" s="5" t="n"/>
    </row>
    <row r="3">
      <c r="A3" s="5" t="inlineStr">
        <is>
          <t>负荷形态</t>
        </is>
      </c>
      <c r="B3" s="5" t="inlineStr">
        <is>
          <t>白天生产型</t>
        </is>
      </c>
      <c r="C3" s="5" t="inlineStr">
        <is>
          <t>晚高峰型</t>
        </is>
      </c>
      <c r="D3" s="5" t="inlineStr">
        <is>
          <t>连续三班型</t>
        </is>
      </c>
      <c r="E3" s="5" t="n"/>
      <c r="F3" s="5" t="n"/>
      <c r="G3" s="5" t="n"/>
      <c r="H3" s="5" t="n"/>
      <c r="I3" s="5" t="n"/>
      <c r="J3" s="5" t="n"/>
    </row>
    <row r="4">
      <c r="A4" s="5" t="inlineStr">
        <is>
          <t>年可用发电量（万kWh）</t>
        </is>
      </c>
      <c r="B4" s="5" t="n">
        <v>1100</v>
      </c>
      <c r="C4" s="5" t="n">
        <v>1100</v>
      </c>
      <c r="D4" s="5" t="n">
        <v>1100</v>
      </c>
      <c r="E4" s="5" t="n">
        <v>1100</v>
      </c>
      <c r="F4" s="5" t="n">
        <v>1100</v>
      </c>
      <c r="G4" s="5" t="n">
        <v>1100</v>
      </c>
      <c r="H4" s="5" t="n">
        <v>1100</v>
      </c>
      <c r="I4" s="5" t="n">
        <v>1100</v>
      </c>
      <c r="J4" s="5" t="n">
        <v>1100</v>
      </c>
    </row>
    <row r="5">
      <c r="A5" s="5" t="inlineStr">
        <is>
          <t>年自发自用电量（万kWh）</t>
        </is>
      </c>
      <c r="B5" s="5" t="n">
        <v>1100</v>
      </c>
      <c r="C5" s="5" t="n">
        <v>1100</v>
      </c>
      <c r="D5" s="5" t="n">
        <v>1100</v>
      </c>
      <c r="E5" s="5" t="n">
        <v>1100</v>
      </c>
      <c r="F5" s="5" t="n">
        <v>1100</v>
      </c>
      <c r="G5" s="5" t="n">
        <v>1100</v>
      </c>
      <c r="H5" s="5" t="n">
        <v>1100</v>
      </c>
      <c r="I5" s="5" t="n">
        <v>1100</v>
      </c>
      <c r="J5" s="5" t="n">
        <v>1100</v>
      </c>
    </row>
    <row r="6">
      <c r="A6" s="5" t="inlineStr">
        <is>
          <t>年余电上网电量（万kWh）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</row>
    <row r="7">
      <c r="A7" s="5" t="inlineStr">
        <is>
          <t>年下网购电量（万kWh）</t>
        </is>
      </c>
      <c r="B7" s="5" t="n">
        <v>5142.039486844636</v>
      </c>
      <c r="C7" s="5" t="n">
        <v>5148.56777555288</v>
      </c>
      <c r="D7" s="5" t="n">
        <v>5142.795988001199</v>
      </c>
      <c r="E7" s="5" t="n">
        <v>5142.039486844636</v>
      </c>
      <c r="F7" s="5" t="n">
        <v>5148.56777555288</v>
      </c>
      <c r="G7" s="5" t="n">
        <v>5142.795988001199</v>
      </c>
      <c r="H7" s="5" t="n">
        <v>5149.139999999999</v>
      </c>
      <c r="I7" s="5" t="n">
        <v>5148.56777555288</v>
      </c>
      <c r="J7" s="5" t="n">
        <v>5148.77501569843</v>
      </c>
    </row>
    <row r="8">
      <c r="A8" s="5" t="inlineStr">
        <is>
          <t>柴发年发电量（万kWh）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5" t="inlineStr">
        <is>
          <t>储能年放电量（万kWh）</t>
        </is>
      </c>
      <c r="B9" s="5" t="n">
        <v>308.2895701940009</v>
      </c>
      <c r="C9" s="5" t="n">
        <v>356.163687387783</v>
      </c>
      <c r="D9" s="5" t="n">
        <v>313.8372453421325</v>
      </c>
      <c r="E9" s="5" t="n">
        <v>308.2895701940009</v>
      </c>
      <c r="F9" s="5" t="n">
        <v>356.163687387783</v>
      </c>
      <c r="G9" s="5" t="n">
        <v>313.8372453421325</v>
      </c>
      <c r="H9" s="5" t="n">
        <v>360.36</v>
      </c>
      <c r="I9" s="5" t="n">
        <v>356.163687387783</v>
      </c>
      <c r="J9" s="5" t="n">
        <v>357.6834484551545</v>
      </c>
    </row>
    <row r="10">
      <c r="A10" s="5" t="inlineStr">
        <is>
          <t>储能年谷时充电量（万kWh）</t>
        </is>
      </c>
      <c r="B10" s="5" t="n">
        <v>350.3290570386375</v>
      </c>
      <c r="C10" s="5" t="n">
        <v>404.7314629406625</v>
      </c>
      <c r="D10" s="5" t="n">
        <v>356.6332333433323</v>
      </c>
      <c r="E10" s="5" t="n">
        <v>350.3290570386375</v>
      </c>
      <c r="F10" s="5" t="n">
        <v>404.7314629406625</v>
      </c>
      <c r="G10" s="5" t="n">
        <v>356.6332333433323</v>
      </c>
      <c r="H10" s="5" t="n">
        <v>409.5000000000001</v>
      </c>
      <c r="I10" s="5" t="n">
        <v>404.7314629406625</v>
      </c>
      <c r="J10" s="5" t="n">
        <v>406.4584641535847</v>
      </c>
    </row>
    <row r="11">
      <c r="A11" s="5" t="inlineStr">
        <is>
          <t>年总用电量（万kWh）</t>
        </is>
      </c>
      <c r="B11" s="5" t="n">
        <v>6200</v>
      </c>
      <c r="C11" s="5" t="n">
        <v>6200</v>
      </c>
      <c r="D11" s="5" t="n">
        <v>6200</v>
      </c>
      <c r="E11" s="5" t="n">
        <v>6200</v>
      </c>
      <c r="F11" s="5" t="n">
        <v>6200</v>
      </c>
      <c r="G11" s="5" t="n">
        <v>6200</v>
      </c>
      <c r="H11" s="5" t="n">
        <v>6200</v>
      </c>
      <c r="I11" s="5" t="n">
        <v>6200</v>
      </c>
      <c r="J11" s="5" t="n">
        <v>6200</v>
      </c>
    </row>
    <row r="12">
      <c r="A12" s="5" t="inlineStr">
        <is>
          <t>年购电电度费（万元）</t>
        </is>
      </c>
      <c r="B12" s="5" t="n">
        <v>3303.416224357877</v>
      </c>
      <c r="C12" s="5" t="n">
        <v>3616.254424406951</v>
      </c>
      <c r="D12" s="5" t="n">
        <v>3280.199920660511</v>
      </c>
      <c r="E12" s="5" t="n">
        <v>3060.897478437319</v>
      </c>
      <c r="F12" s="5" t="n">
        <v>3266.941246844665</v>
      </c>
      <c r="G12" s="5" t="n">
        <v>3046.944991004319</v>
      </c>
      <c r="H12" s="5" t="n">
        <v>3264.591827019793</v>
      </c>
      <c r="I12" s="5" t="n">
        <v>3618.288172994346</v>
      </c>
      <c r="J12" s="5" t="n">
        <v>3250.62207001946</v>
      </c>
    </row>
    <row r="13">
      <c r="A13" s="5" t="inlineStr">
        <is>
          <t>年需量（容量）电费（万元）</t>
        </is>
      </c>
      <c r="B13" s="5" t="n">
        <v>386.95338689478</v>
      </c>
      <c r="C13" s="5" t="n">
        <v>641.4349997904558</v>
      </c>
      <c r="D13" s="5" t="n">
        <v>342.1440000000001</v>
      </c>
      <c r="E13" s="5" t="n">
        <v>386.95338689478</v>
      </c>
      <c r="F13" s="5" t="n">
        <v>641.4349997904558</v>
      </c>
      <c r="G13" s="5" t="n">
        <v>342.1440000000001</v>
      </c>
      <c r="H13" s="5" t="n">
        <v>316.8</v>
      </c>
      <c r="I13" s="5" t="n">
        <v>316.8</v>
      </c>
      <c r="J13" s="5" t="n">
        <v>316.8</v>
      </c>
    </row>
    <row r="14">
      <c r="A14" s="5" t="inlineStr">
        <is>
          <t>年就近消纳输配电费（万元）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</row>
    <row r="15">
      <c r="A15" s="5" t="inlineStr">
        <is>
          <t>年政府性基金及附加（万元）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</row>
    <row r="16">
      <c r="A16" s="5" t="inlineStr">
        <is>
          <t>柴发年燃料成本（万元）</t>
        </is>
      </c>
      <c r="B16" s="5" t="n">
        <v>30.64285714285715</v>
      </c>
      <c r="C16" s="5" t="n">
        <v>30.64285714285715</v>
      </c>
      <c r="D16" s="5" t="n">
        <v>30.64285714285715</v>
      </c>
      <c r="E16" s="5" t="n">
        <v>30.64285714285715</v>
      </c>
      <c r="F16" s="5" t="n">
        <v>30.64285714285715</v>
      </c>
      <c r="G16" s="5" t="n">
        <v>30.64285714285715</v>
      </c>
      <c r="H16" s="5" t="n">
        <v>30.64285714285715</v>
      </c>
      <c r="I16" s="5" t="n">
        <v>30.64285714285715</v>
      </c>
      <c r="J16" s="5" t="n">
        <v>30.64285714285715</v>
      </c>
    </row>
    <row r="17">
      <c r="A17" s="5" t="inlineStr">
        <is>
          <t>其他电源年成本（万元）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</row>
    <row r="18">
      <c r="A18" s="5" t="inlineStr">
        <is>
          <t>年综合用电成本（万元）</t>
        </is>
      </c>
      <c r="B18" s="5" t="n">
        <v>3721.012468395515</v>
      </c>
      <c r="C18" s="5" t="n">
        <v>4288.332281340264</v>
      </c>
      <c r="D18" s="5" t="n">
        <v>3652.986777803369</v>
      </c>
      <c r="E18" s="5" t="n">
        <v>3478.493722474956</v>
      </c>
      <c r="F18" s="5" t="n">
        <v>3939.019103777978</v>
      </c>
      <c r="G18" s="5" t="n">
        <v>3419.731848147176</v>
      </c>
      <c r="H18" s="5" t="n">
        <v>3612.034684162651</v>
      </c>
      <c r="I18" s="5" t="n">
        <v>3965.731030137204</v>
      </c>
      <c r="J18" s="5" t="n">
        <v>3598.064927162318</v>
      </c>
    </row>
    <row r="19">
      <c r="A19" s="5" t="inlineStr">
        <is>
          <t>综合到户电价（元/kWh）</t>
        </is>
      </c>
      <c r="B19" s="5" t="n">
        <v>0.6001633013541152</v>
      </c>
      <c r="C19" s="5" t="n">
        <v>0.6916664969903651</v>
      </c>
      <c r="D19" s="5" t="n">
        <v>0.589191415774737</v>
      </c>
      <c r="E19" s="5" t="n">
        <v>0.5610473745927348</v>
      </c>
      <c r="F19" s="5" t="n">
        <v>0.6353256618996739</v>
      </c>
      <c r="G19" s="5" t="n">
        <v>0.5515696529269639</v>
      </c>
      <c r="H19" s="5" t="n">
        <v>0.5825862393810727</v>
      </c>
      <c r="I19" s="5" t="n">
        <v>0.6396340371189039</v>
      </c>
      <c r="J19" s="5" t="n">
        <v>0.5803330527681158</v>
      </c>
    </row>
    <row r="20">
      <c r="A20" s="5" t="inlineStr">
        <is>
          <t>全量电网供电对照成本（万元）</t>
        </is>
      </c>
      <c r="B20" s="5" t="n">
        <v>4154</v>
      </c>
      <c r="C20" s="5" t="n">
        <v>4154</v>
      </c>
      <c r="D20" s="5" t="n">
        <v>4154</v>
      </c>
      <c r="E20" s="5" t="n">
        <v>4154</v>
      </c>
      <c r="F20" s="5" t="n">
        <v>4154</v>
      </c>
      <c r="G20" s="5" t="n">
        <v>4154</v>
      </c>
      <c r="H20" s="5" t="n">
        <v>4154</v>
      </c>
      <c r="I20" s="5" t="n">
        <v>4154</v>
      </c>
      <c r="J20" s="5" t="n">
        <v>4154</v>
      </c>
    </row>
    <row r="21">
      <c r="A21" s="5" t="inlineStr">
        <is>
          <t>年节省额（万元）</t>
        </is>
      </c>
      <c r="B21" s="5" t="n">
        <v>432.9875316044854</v>
      </c>
      <c r="C21" s="5" t="n">
        <v>-134.3322813402638</v>
      </c>
      <c r="D21" s="5" t="n">
        <v>501.013222196631</v>
      </c>
      <c r="E21" s="5" t="n">
        <v>675.506277525044</v>
      </c>
      <c r="F21" s="5" t="n">
        <v>214.9808962220218</v>
      </c>
      <c r="G21" s="5" t="n">
        <v>734.2681518528238</v>
      </c>
      <c r="H21" s="5" t="n">
        <v>541.9653158373494</v>
      </c>
      <c r="I21" s="5" t="n">
        <v>188.268969862796</v>
      </c>
      <c r="J21" s="5" t="n">
        <v>555.9350728376821</v>
      </c>
    </row>
    <row r="22">
      <c r="A22" s="5" t="inlineStr">
        <is>
          <t>节省率</t>
        </is>
      </c>
      <c r="B22" s="5" t="n">
        <v>0.1042338785759474</v>
      </c>
      <c r="C22" s="5" t="n">
        <v>-0.03233805520950019</v>
      </c>
      <c r="D22" s="5" t="n">
        <v>0.1206098272018852</v>
      </c>
      <c r="E22" s="5" t="n">
        <v>0.1626158588168137</v>
      </c>
      <c r="F22" s="5" t="n">
        <v>0.05175274343332253</v>
      </c>
      <c r="G22" s="5" t="n">
        <v>0.1767617120493076</v>
      </c>
      <c r="H22" s="5" t="n">
        <v>0.1304682994312348</v>
      </c>
      <c r="I22" s="5" t="n">
        <v>0.04532233265835243</v>
      </c>
      <c r="J22" s="5" t="n">
        <v>0.1338312645252003</v>
      </c>
    </row>
    <row r="23">
      <c r="A23" s="5" t="inlineStr">
        <is>
          <t>① 自发自用节省（万元）</t>
        </is>
      </c>
      <c r="B23" s="5" t="n">
        <v>555.6810211232877</v>
      </c>
      <c r="C23" s="5" t="n">
        <v>555.6810211232877</v>
      </c>
      <c r="D23" s="5" t="n">
        <v>555.6810211232877</v>
      </c>
      <c r="E23" s="5" t="n">
        <v>555.1225342465755</v>
      </c>
      <c r="F23" s="5" t="n">
        <v>555.1225342465755</v>
      </c>
      <c r="G23" s="5" t="n">
        <v>555.1225342465755</v>
      </c>
      <c r="H23" s="5" t="n">
        <v>555.6810211232877</v>
      </c>
      <c r="I23" s="5" t="n">
        <v>555.6810211232877</v>
      </c>
      <c r="J23" s="5" t="n">
        <v>555.6810211232877</v>
      </c>
    </row>
    <row r="24">
      <c r="A24" s="5" t="inlineStr">
        <is>
          <t>② 峰谷套利（万元）</t>
        </is>
      </c>
      <c r="B24" s="5" t="n">
        <v>240.2251212619156</v>
      </c>
      <c r="C24" s="5" t="n">
        <v>279.2781161135964</v>
      </c>
      <c r="D24" s="5" t="n">
        <v>249.0150755677987</v>
      </c>
      <c r="E24" s="5" t="n">
        <v>148.8340320463267</v>
      </c>
      <c r="F24" s="5" t="n">
        <v>172.6535661392527</v>
      </c>
      <c r="G24" s="5" t="n">
        <v>154.2118172148591</v>
      </c>
      <c r="H24" s="5" t="n">
        <v>279.0495186</v>
      </c>
      <c r="I24" s="5" t="n">
        <v>277.2443675262006</v>
      </c>
      <c r="J24" s="5" t="n">
        <v>278.5929262088501</v>
      </c>
    </row>
    <row r="25">
      <c r="A25" s="5" t="inlineStr">
        <is>
          <t>③ 需量优化（万元）</t>
        </is>
      </c>
      <c r="B25" s="5" t="n">
        <v>52.25212440388611</v>
      </c>
      <c r="C25" s="5" t="n">
        <v>0</v>
      </c>
      <c r="D25" s="5" t="n">
        <v>0</v>
      </c>
      <c r="E25" s="5" t="n">
        <v>52.25212440388611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</row>
    <row r="26">
      <c r="A26" s="5" t="inlineStr">
        <is>
          <t>④ 余电上网（万元）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</row>
    <row r="27">
      <c r="A27" s="5" t="inlineStr">
        <is>
          <t>⑤ 需求响应（万元）</t>
        </is>
      </c>
      <c r="B27" s="5" t="n">
        <v>12</v>
      </c>
      <c r="C27" s="5" t="n">
        <v>12</v>
      </c>
      <c r="D27" s="5" t="n">
        <v>12</v>
      </c>
      <c r="E27" s="5" t="n">
        <v>12</v>
      </c>
      <c r="F27" s="5" t="n">
        <v>12</v>
      </c>
      <c r="G27" s="5" t="n">
        <v>12</v>
      </c>
      <c r="H27" s="5" t="n">
        <v>12</v>
      </c>
      <c r="I27" s="5" t="n">
        <v>12</v>
      </c>
      <c r="J27" s="5" t="n">
        <v>12</v>
      </c>
    </row>
    <row r="28">
      <c r="A28" s="5" t="inlineStr">
        <is>
          <t>⑥ 充电桩服务费（万元）</t>
        </is>
      </c>
      <c r="B28" s="5" t="n">
        <v>90</v>
      </c>
      <c r="C28" s="5" t="n">
        <v>90</v>
      </c>
      <c r="D28" s="5" t="n">
        <v>90</v>
      </c>
      <c r="E28" s="5" t="n">
        <v>90</v>
      </c>
      <c r="F28" s="5" t="n">
        <v>90</v>
      </c>
      <c r="G28" s="5" t="n">
        <v>90</v>
      </c>
      <c r="H28" s="5" t="n">
        <v>90</v>
      </c>
      <c r="I28" s="5" t="n">
        <v>90</v>
      </c>
      <c r="J28" s="5" t="n">
        <v>90</v>
      </c>
    </row>
    <row r="29">
      <c r="A29" s="5" t="inlineStr">
        <is>
          <t>⑦ 环境价值（单列，万元）</t>
        </is>
      </c>
      <c r="B29" s="5" t="n">
        <v>5.5</v>
      </c>
      <c r="C29" s="5" t="n">
        <v>5.5</v>
      </c>
      <c r="D29" s="5" t="n">
        <v>5.5</v>
      </c>
      <c r="E29" s="5" t="n">
        <v>5.5</v>
      </c>
      <c r="F29" s="5" t="n">
        <v>5.5</v>
      </c>
      <c r="G29" s="5" t="n">
        <v>5.5</v>
      </c>
      <c r="H29" s="5" t="n">
        <v>5.5</v>
      </c>
      <c r="I29" s="5" t="n">
        <v>5.5</v>
      </c>
      <c r="J29" s="5" t="n">
        <v>5.5</v>
      </c>
    </row>
    <row r="30">
      <c r="A30" s="5" t="inlineStr">
        <is>
          <t>自用/可用发电量</t>
        </is>
      </c>
      <c r="B30" s="5" t="n">
        <v>1</v>
      </c>
      <c r="C30" s="5" t="n">
        <v>1</v>
      </c>
      <c r="D30" s="5" t="n">
        <v>1</v>
      </c>
      <c r="E30" s="5" t="n">
        <v>1</v>
      </c>
      <c r="F30" s="5" t="n">
        <v>1</v>
      </c>
      <c r="G30" s="5" t="n">
        <v>1</v>
      </c>
      <c r="H30" s="5" t="n">
        <v>1</v>
      </c>
      <c r="I30" s="5" t="n">
        <v>1</v>
      </c>
      <c r="J30" s="5" t="n">
        <v>1</v>
      </c>
    </row>
    <row r="31">
      <c r="A31" s="5" t="inlineStr">
        <is>
          <t>自用/年用电量</t>
        </is>
      </c>
      <c r="B31" s="5" t="n">
        <v>0.1774193548387097</v>
      </c>
      <c r="C31" s="5" t="n">
        <v>0.1774193548387097</v>
      </c>
      <c r="D31" s="5" t="n">
        <v>0.1774193548387097</v>
      </c>
      <c r="E31" s="5" t="n">
        <v>0.1774193548387097</v>
      </c>
      <c r="F31" s="5" t="n">
        <v>0.1774193548387097</v>
      </c>
      <c r="G31" s="5" t="n">
        <v>0.1774193548387097</v>
      </c>
      <c r="H31" s="5" t="n">
        <v>0.1774193548387097</v>
      </c>
      <c r="I31" s="5" t="n">
        <v>0.1774193548387097</v>
      </c>
      <c r="J31" s="5" t="n">
        <v>0.1774193548387097</v>
      </c>
    </row>
    <row r="32">
      <c r="A32" s="5" t="inlineStr">
        <is>
          <t>可再生装机占比</t>
        </is>
      </c>
      <c r="B32" s="5" t="n">
        <v>0.8333333333333334</v>
      </c>
      <c r="C32" s="5" t="n">
        <v>0.8333333333333334</v>
      </c>
      <c r="D32" s="5" t="n">
        <v>0.8333333333333334</v>
      </c>
      <c r="E32" s="5" t="n">
        <v>0.8333333333333334</v>
      </c>
      <c r="F32" s="5" t="n">
        <v>0.8333333333333334</v>
      </c>
      <c r="G32" s="5" t="n">
        <v>0.8333333333333334</v>
      </c>
      <c r="H32" s="5" t="n">
        <v>0.8333333333333334</v>
      </c>
      <c r="I32" s="5" t="n">
        <v>0.8333333333333334</v>
      </c>
      <c r="J32" s="5" t="n">
        <v>0.8333333333333334</v>
      </c>
    </row>
    <row r="33">
      <c r="A33" s="5" t="inlineStr">
        <is>
          <t>光伏装机（MW）</t>
        </is>
      </c>
      <c r="B33" s="5" t="n">
        <v>10</v>
      </c>
      <c r="C33" s="5" t="n">
        <v>10</v>
      </c>
      <c r="D33" s="5" t="n">
        <v>10</v>
      </c>
      <c r="E33" s="5" t="n">
        <v>10</v>
      </c>
      <c r="F33" s="5" t="n">
        <v>10</v>
      </c>
      <c r="G33" s="5" t="n">
        <v>10</v>
      </c>
      <c r="H33" s="5" t="n">
        <v>10</v>
      </c>
      <c r="I33" s="5" t="n">
        <v>10</v>
      </c>
      <c r="J33" s="5" t="n">
        <v>10</v>
      </c>
    </row>
    <row r="34">
      <c r="A34" s="5" t="inlineStr">
        <is>
          <t>风电装机（MW）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</row>
    <row r="35">
      <c r="A35" s="5" t="inlineStr">
        <is>
          <t>储能功率（MW）</t>
        </is>
      </c>
      <c r="B35" s="5" t="n">
        <v>5</v>
      </c>
      <c r="C35" s="5" t="n">
        <v>5</v>
      </c>
      <c r="D35" s="5" t="n">
        <v>5</v>
      </c>
      <c r="E35" s="5" t="n">
        <v>5</v>
      </c>
      <c r="F35" s="5" t="n">
        <v>5</v>
      </c>
      <c r="G35" s="5" t="n">
        <v>5</v>
      </c>
      <c r="H35" s="5" t="n">
        <v>5</v>
      </c>
      <c r="I35" s="5" t="n">
        <v>5</v>
      </c>
      <c r="J35" s="5" t="n">
        <v>5</v>
      </c>
    </row>
    <row r="36">
      <c r="A36" s="5" t="inlineStr">
        <is>
          <t>储能容量（MWh）</t>
        </is>
      </c>
      <c r="B36" s="5" t="n">
        <v>10</v>
      </c>
      <c r="C36" s="5" t="n">
        <v>10</v>
      </c>
      <c r="D36" s="5" t="n">
        <v>10</v>
      </c>
      <c r="E36" s="5" t="n">
        <v>10</v>
      </c>
      <c r="F36" s="5" t="n">
        <v>10</v>
      </c>
      <c r="G36" s="5" t="n">
        <v>10</v>
      </c>
      <c r="H36" s="5" t="n">
        <v>10</v>
      </c>
      <c r="I36" s="5" t="n">
        <v>10</v>
      </c>
      <c r="J36" s="5" t="n">
        <v>10</v>
      </c>
    </row>
    <row r="37">
      <c r="A37" s="5" t="inlineStr">
        <is>
          <t>柴发装机（MW）</t>
        </is>
      </c>
      <c r="B37" s="5" t="n">
        <v>2</v>
      </c>
      <c r="C37" s="5" t="n">
        <v>2</v>
      </c>
      <c r="D37" s="5" t="n">
        <v>2</v>
      </c>
      <c r="E37" s="5" t="n">
        <v>2</v>
      </c>
      <c r="F37" s="5" t="n">
        <v>2</v>
      </c>
      <c r="G37" s="5" t="n">
        <v>2</v>
      </c>
      <c r="H37" s="5" t="n">
        <v>2</v>
      </c>
      <c r="I37" s="5" t="n">
        <v>2</v>
      </c>
      <c r="J37" s="5" t="n">
        <v>2</v>
      </c>
    </row>
    <row r="38">
      <c r="A38" s="5" t="inlineStr">
        <is>
          <t>电价场景说明</t>
        </is>
      </c>
      <c r="B38" s="5" t="inlineStr">
        <is>
          <t>山东并网型园区微电网，电网代理购电分时电价，需量计费；引擎参考算例原参数。</t>
        </is>
      </c>
      <c r="C38" s="5" t="inlineStr">
        <is>
          <t>同一资产与负荷，改为市场化交易购电（各档市场购电价+输配等平加），需量计费。</t>
        </is>
      </c>
      <c r="D38" s="5" t="inlineStr">
        <is>
          <t>同一资产与负荷，代理购电路径，现行容（需）量电费改按变压器容量计费。</t>
        </is>
      </c>
      <c r="E38" s="5" t="n"/>
      <c r="F38" s="5" t="n"/>
      <c r="G38" s="5" t="n"/>
      <c r="H38" s="5" t="n"/>
      <c r="I38" s="5" t="n"/>
      <c r="J38" s="5" t="n"/>
    </row>
    <row r="39">
      <c r="A39" s="5" t="inlineStr">
        <is>
          <t>典型日负荷形态说明</t>
        </is>
      </c>
      <c r="B39" s="5" t="inlineStr">
        <is>
          <t>负荷集中于白班，与光伏出力叠合度高，日间需量峰值明显。</t>
        </is>
      </c>
      <c r="C39" s="5" t="inlineStr">
        <is>
          <t>负荷晚间抬升，储能放电价值前移，晚间需量峰值最高。</t>
        </is>
      </c>
      <c r="D39" s="5" t="inlineStr">
        <is>
          <t>24小时平直负荷，需量峰值最低，光伏与负荷叠合度较弱。</t>
        </is>
      </c>
      <c r="E39" s="5" t="n"/>
      <c r="F39" s="5" t="n"/>
      <c r="G39" s="5" t="n"/>
      <c r="H39" s="5" t="n"/>
      <c r="I39" s="5" t="n"/>
      <c r="J39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F07E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2" customWidth="1" min="4" max="4"/>
    <col width="10" customWidth="1" min="5" max="5"/>
    <col width="10" customWidth="1" min="6" max="6"/>
    <col width="30" customWidth="1" min="7" max="7"/>
    <col width="14" customWidth="1" min="8" max="8"/>
    <col width="12" customWidth="1" min="9" max="9"/>
    <col width="14" customWidth="1" min="10" max="10"/>
    <col width="12" customWidth="1" min="11" max="11"/>
    <col width="13" customWidth="1" min="12" max="12"/>
  </cols>
  <sheetData>
    <row r="1" ht="22" customHeight="1">
      <c r="B1" s="23" t="inlineStr">
        <is>
          <t>智能微电网经济评价 v3.3 · 介子九维 JIEZIJIUWEI</t>
        </is>
      </c>
    </row>
    <row r="2" ht="13" customHeight="1">
      <c r="B2" s="24" t="inlineStr">
        <is>
          <t>输入区（黄底蓝字单元格可修改；单元格批注含填报说明）</t>
        </is>
      </c>
    </row>
    <row r="3" ht="18" customHeight="1">
      <c r="B3" s="25" t="inlineStr">
        <is>
          <t>参数</t>
        </is>
      </c>
      <c r="C3" s="25" t="inlineStr">
        <is>
          <t>数值</t>
        </is>
      </c>
      <c r="D3" s="25" t="inlineStr">
        <is>
          <t>单位</t>
        </is>
      </c>
      <c r="G3" s="26" t="inlineStr">
        <is>
          <t>关键指标</t>
        </is>
      </c>
      <c r="H3" s="27" t="n"/>
      <c r="I3" s="27" t="n"/>
    </row>
    <row r="4" ht="18" customHeight="1">
      <c r="B4" s="26" t="inlineStr">
        <is>
          <t>场景选择</t>
        </is>
      </c>
      <c r="C4" s="27" t="n"/>
      <c r="D4" s="27" t="n"/>
      <c r="G4" s="28" t="inlineStr">
        <is>
          <t>全投资内部收益率（税前）</t>
        </is>
      </c>
      <c r="H4" s="29">
        <f>_zvfwiv</f>
        <v/>
      </c>
      <c r="I4" s="30" t="inlineStr"/>
    </row>
    <row r="5" ht="15.5" customHeight="1">
      <c r="B5" s="31" t="inlineStr">
        <is>
          <t>电价场景</t>
        </is>
      </c>
      <c r="C5" s="32" t="inlineStr">
        <is>
          <t>参考算例（代理购电·按需量）</t>
        </is>
      </c>
      <c r="G5" s="33" t="inlineStr">
        <is>
          <t>全投资内部收益率（税后）</t>
        </is>
      </c>
      <c r="H5" s="34">
        <f>_z3ewnh</f>
        <v/>
      </c>
      <c r="I5" s="35" t="inlineStr">
        <is>
          <t>主评价指标</t>
        </is>
      </c>
    </row>
    <row r="6" ht="15.5" customHeight="1">
      <c r="B6" s="36">
        <f>INDEX(_zkdmvf,MATCH(_zobook,_z3dy4z,0))</f>
        <v/>
      </c>
      <c r="C6" s="5" t="n"/>
      <c r="D6" s="5" t="n"/>
      <c r="E6" s="5" t="n"/>
      <c r="G6" s="33" t="inlineStr">
        <is>
          <t>资本金内部收益率</t>
        </is>
      </c>
      <c r="H6" s="34">
        <f>_z2tbwe</f>
        <v/>
      </c>
      <c r="I6" s="35" t="inlineStr"/>
    </row>
    <row r="7" ht="15.5" customHeight="1">
      <c r="B7" s="31" t="inlineStr">
        <is>
          <t>典型日负荷形态</t>
        </is>
      </c>
      <c r="C7" s="32" t="inlineStr">
        <is>
          <t>白天生产型</t>
        </is>
      </c>
      <c r="G7" s="33" t="inlineStr">
        <is>
          <t>净现值（税后全投资）</t>
        </is>
      </c>
      <c r="H7" s="37">
        <f>_z8sr6o</f>
        <v/>
      </c>
      <c r="I7" s="35" t="inlineStr">
        <is>
          <t>万元</t>
        </is>
      </c>
    </row>
    <row r="8" ht="15.5" customHeight="1">
      <c r="B8" s="36">
        <f>INDEX(_zt1gjv,MATCH(_zhoj8r,_z7qs7z,0))</f>
        <v/>
      </c>
      <c r="C8" s="5" t="n"/>
      <c r="D8" s="5" t="n"/>
      <c r="E8" s="5" t="n"/>
      <c r="G8" s="33" t="inlineStr">
        <is>
          <t>静态回收期</t>
        </is>
      </c>
      <c r="H8" s="38">
        <f>_z3lcbu</f>
        <v/>
      </c>
      <c r="I8" s="35" t="inlineStr">
        <is>
          <t>年</t>
        </is>
      </c>
    </row>
    <row r="9" ht="15.5" customHeight="1">
      <c r="G9" s="33" t="inlineStr">
        <is>
          <t>动态回收期</t>
        </is>
      </c>
      <c r="H9" s="38">
        <f>_z4kqsx</f>
        <v/>
      </c>
      <c r="I9" s="35" t="inlineStr">
        <is>
          <t>年</t>
        </is>
      </c>
    </row>
    <row r="10" ht="18" customHeight="1">
      <c r="B10" s="26" t="inlineStr">
        <is>
          <t>A 投资造价</t>
        </is>
      </c>
      <c r="C10" s="27" t="n"/>
      <c r="D10" s="27" t="n"/>
      <c r="G10" s="33" t="inlineStr">
        <is>
          <t>度电成本 LCOE</t>
        </is>
      </c>
      <c r="H10" s="39">
        <f>_zehl1m</f>
        <v/>
      </c>
      <c r="I10" s="35" t="inlineStr">
        <is>
          <t>元/kWh</t>
        </is>
      </c>
    </row>
    <row r="11" ht="15.5" customHeight="1">
      <c r="B11" s="31" t="inlineStr">
        <is>
          <t>光伏单位造价</t>
        </is>
      </c>
      <c r="C11" s="40" t="n">
        <v>3</v>
      </c>
      <c r="D11" s="24" t="inlineStr">
        <is>
          <t>元/W</t>
        </is>
      </c>
      <c r="G11" s="33" t="inlineStr">
        <is>
          <t>综合到户电价</t>
        </is>
      </c>
      <c r="H11" s="39">
        <f>_zmbbnb</f>
        <v/>
      </c>
      <c r="I11" s="35" t="inlineStr">
        <is>
          <t>元/kWh</t>
        </is>
      </c>
    </row>
    <row r="12" ht="15.5" customHeight="1">
      <c r="B12" s="31" t="inlineStr">
        <is>
          <t>风电单位造价</t>
        </is>
      </c>
      <c r="C12" s="40" t="n">
        <v>4.5</v>
      </c>
      <c r="D12" s="24" t="inlineStr">
        <is>
          <t>元/W</t>
        </is>
      </c>
      <c r="G12" s="33" t="inlineStr">
        <is>
          <t>年节省额（对照全量电网供电）</t>
        </is>
      </c>
      <c r="H12" s="37">
        <f>_zbx4ou</f>
        <v/>
      </c>
      <c r="I12" s="35" t="inlineStr">
        <is>
          <t>万元</t>
        </is>
      </c>
    </row>
    <row r="13" ht="15.5" customHeight="1">
      <c r="B13" s="31" t="inlineStr">
        <is>
          <t>储能单位造价</t>
        </is>
      </c>
      <c r="C13" s="40" t="n">
        <v>1</v>
      </c>
      <c r="D13" s="24" t="inlineStr">
        <is>
          <t>元/Wh</t>
        </is>
      </c>
      <c r="G13" s="41" t="inlineStr">
        <is>
          <t>节省率</t>
        </is>
      </c>
      <c r="H13" s="42">
        <f>_zisdds</f>
        <v/>
      </c>
      <c r="I13" s="43" t="inlineStr"/>
    </row>
    <row r="14" ht="15.5" customHeight="1">
      <c r="B14" s="31" t="inlineStr">
        <is>
          <t>柴发单位造价</t>
        </is>
      </c>
      <c r="C14" s="40" t="n">
        <v>0.5</v>
      </c>
      <c r="D14" s="24" t="inlineStr">
        <is>
          <t>元/W</t>
        </is>
      </c>
    </row>
    <row r="15" ht="18" customHeight="1">
      <c r="B15" s="31" t="inlineStr">
        <is>
          <t>充电桩投资</t>
        </is>
      </c>
      <c r="C15" s="40" t="n">
        <v>300</v>
      </c>
      <c r="D15" s="24" t="inlineStr">
        <is>
          <t>万元</t>
        </is>
      </c>
      <c r="G15" s="26" t="inlineStr">
        <is>
          <t>合规参考（就近就地消纳与可再生占比）</t>
        </is>
      </c>
      <c r="H15" s="27" t="n"/>
      <c r="I15" s="27" t="n"/>
    </row>
    <row r="16" ht="15.5" customHeight="1">
      <c r="B16" s="31" t="inlineStr">
        <is>
          <t>配电工程等其他投资</t>
        </is>
      </c>
      <c r="C16" s="40" t="n">
        <v>800</v>
      </c>
      <c r="D16" s="24" t="inlineStr">
        <is>
          <t>万元</t>
        </is>
      </c>
      <c r="G16" s="31" t="inlineStr">
        <is>
          <t>自用/可用发电量 ≥60%</t>
        </is>
      </c>
      <c r="H16" s="44">
        <f>_zq9jto</f>
        <v/>
      </c>
      <c r="I16" s="45">
        <f>IF(_zq9jto&gt;=0.6,"满足","不满足")</f>
        <v/>
      </c>
    </row>
    <row r="17" ht="15.5" customHeight="1">
      <c r="B17" s="31" t="inlineStr">
        <is>
          <t>其他电源投资</t>
        </is>
      </c>
      <c r="C17" s="40" t="n">
        <v>0</v>
      </c>
      <c r="D17" s="24" t="inlineStr">
        <is>
          <t>万元</t>
        </is>
      </c>
      <c r="G17" s="31" t="inlineStr">
        <is>
          <t>可再生装机占比 ≥50%</t>
        </is>
      </c>
      <c r="H17" s="44">
        <f>_z4zxd3</f>
        <v/>
      </c>
      <c r="I17" s="45">
        <f>IF(_z4zxd3&gt;=0.5,"满足","不满足")</f>
        <v/>
      </c>
    </row>
    <row r="18" ht="15.5" customHeight="1">
      <c r="G18" s="31" t="inlineStr">
        <is>
          <t>自用/年用电量 ≥30%</t>
        </is>
      </c>
      <c r="H18" s="44">
        <f>_z31n7i</f>
        <v/>
      </c>
      <c r="I18" s="45">
        <f>IF(_z31n7i&gt;=0.3,"满足","不满足")</f>
        <v/>
      </c>
    </row>
    <row r="19" ht="18" customHeight="1">
      <c r="B19" s="26" t="inlineStr">
        <is>
          <t>B 运行参数</t>
        </is>
      </c>
      <c r="C19" s="27" t="n"/>
      <c r="D19" s="27" t="n"/>
    </row>
    <row r="20" ht="18" customHeight="1">
      <c r="B20" s="31" t="inlineStr">
        <is>
          <t>年出力衰减率</t>
        </is>
      </c>
      <c r="C20" s="46" t="n">
        <v>0.005</v>
      </c>
      <c r="D20" s="24" t="inlineStr">
        <is>
          <t>%</t>
        </is>
      </c>
      <c r="G20" s="26" t="inlineStr">
        <is>
          <t>首年电量、费用与收益构成（所选场景）</t>
        </is>
      </c>
      <c r="H20" s="27" t="n"/>
      <c r="I20" s="27" t="n"/>
    </row>
    <row r="21" ht="15.5" customHeight="1">
      <c r="B21" s="31" t="inlineStr">
        <is>
          <t>储能更换年份</t>
        </is>
      </c>
      <c r="C21" s="47" t="n">
        <v>12</v>
      </c>
      <c r="D21" s="24" t="inlineStr">
        <is>
          <t>第N年</t>
        </is>
      </c>
      <c r="G21" s="31" t="inlineStr">
        <is>
          <t>年可用发电量（万kWh）</t>
        </is>
      </c>
      <c r="H21" s="48">
        <f>_z39asj</f>
        <v/>
      </c>
    </row>
    <row r="22" ht="15.5" customHeight="1">
      <c r="B22" s="31" t="inlineStr">
        <is>
          <t>更换费用比例</t>
        </is>
      </c>
      <c r="C22" s="46" t="n">
        <v>0.5</v>
      </c>
      <c r="D22" s="24" t="inlineStr">
        <is>
          <t>%</t>
        </is>
      </c>
      <c r="G22" s="31" t="inlineStr">
        <is>
          <t>年自发自用电量（万kWh）</t>
        </is>
      </c>
      <c r="H22" s="48">
        <f>_zdj37c</f>
        <v/>
      </c>
    </row>
    <row r="23" ht="15.5" customHeight="1">
      <c r="B23" s="31" t="inlineStr">
        <is>
          <t>运维费率</t>
        </is>
      </c>
      <c r="C23" s="46" t="n">
        <v>0.015</v>
      </c>
      <c r="D23" s="24" t="inlineStr">
        <is>
          <t>%</t>
        </is>
      </c>
      <c r="G23" s="31" t="inlineStr">
        <is>
          <t>年余电上网电量（万kWh）</t>
        </is>
      </c>
      <c r="H23" s="48">
        <f>_zv9i5q</f>
        <v/>
      </c>
    </row>
    <row r="24" ht="15.5" customHeight="1">
      <c r="B24" s="31" t="inlineStr">
        <is>
          <t>保险费率</t>
        </is>
      </c>
      <c r="C24" s="46" t="n">
        <v>0.0025</v>
      </c>
      <c r="D24" s="24" t="inlineStr">
        <is>
          <t>%</t>
        </is>
      </c>
      <c r="G24" s="31" t="inlineStr">
        <is>
          <t>年下网购电量（万kWh）</t>
        </is>
      </c>
      <c r="H24" s="48">
        <f>_zbr0hi</f>
        <v/>
      </c>
    </row>
    <row r="25" ht="15.5" customHeight="1">
      <c r="B25" s="31" t="inlineStr">
        <is>
          <t>土地/场地租金（不含税）</t>
        </is>
      </c>
      <c r="C25" s="40" t="n">
        <v>0</v>
      </c>
      <c r="D25" s="24" t="inlineStr">
        <is>
          <t>万元/年</t>
        </is>
      </c>
      <c r="G25" s="31" t="inlineStr">
        <is>
          <t>柴发年发电量（万kWh）</t>
        </is>
      </c>
      <c r="H25" s="48">
        <f>_zy2ig8</f>
        <v/>
      </c>
    </row>
    <row r="26" ht="15.5" customHeight="1">
      <c r="G26" s="31" t="inlineStr">
        <is>
          <t>储能年放电量（万kWh）</t>
        </is>
      </c>
      <c r="H26" s="48">
        <f>_z0ernh</f>
        <v/>
      </c>
    </row>
    <row r="27" ht="18" customHeight="1">
      <c r="B27" s="26" t="inlineStr">
        <is>
          <t>C 融资与税务</t>
        </is>
      </c>
      <c r="C27" s="27" t="n"/>
      <c r="D27" s="27" t="n"/>
      <c r="G27" s="31" t="inlineStr">
        <is>
          <t>储能年谷时充电量（万kWh）</t>
        </is>
      </c>
      <c r="H27" s="48">
        <f>_zhfuoj</f>
        <v/>
      </c>
    </row>
    <row r="28" ht="15.5" customHeight="1">
      <c r="B28" s="31" t="inlineStr">
        <is>
          <t>资本金比例</t>
        </is>
      </c>
      <c r="C28" s="46" t="n">
        <v>0.3</v>
      </c>
      <c r="D28" s="24" t="inlineStr">
        <is>
          <t>%</t>
        </is>
      </c>
      <c r="G28" s="31" t="inlineStr">
        <is>
          <t>年总用电量（万kWh）</t>
        </is>
      </c>
      <c r="H28" s="48">
        <f>_zpjfi7</f>
        <v/>
      </c>
    </row>
    <row r="29" ht="15.5" customHeight="1">
      <c r="B29" s="31" t="inlineStr">
        <is>
          <t>贷款利率</t>
        </is>
      </c>
      <c r="C29" s="46" t="n">
        <v>0.045</v>
      </c>
      <c r="D29" s="24" t="inlineStr">
        <is>
          <t>%</t>
        </is>
      </c>
      <c r="G29" s="31" t="inlineStr">
        <is>
          <t>年购电电度费（万元）</t>
        </is>
      </c>
      <c r="H29" s="48">
        <f>_z8pux7</f>
        <v/>
      </c>
    </row>
    <row r="30" ht="15.5" customHeight="1">
      <c r="B30" s="31" t="inlineStr">
        <is>
          <t>贷款年限</t>
        </is>
      </c>
      <c r="C30" s="47" t="n">
        <v>15</v>
      </c>
      <c r="D30" s="24" t="inlineStr">
        <is>
          <t>年</t>
        </is>
      </c>
      <c r="G30" s="31" t="inlineStr">
        <is>
          <t>年需量（容量）电费（万元）</t>
        </is>
      </c>
      <c r="H30" s="48">
        <f>_zzcemp</f>
        <v/>
      </c>
    </row>
    <row r="31" ht="15.5" customHeight="1">
      <c r="B31" s="31" t="inlineStr">
        <is>
          <t>运营期</t>
        </is>
      </c>
      <c r="C31" s="47" t="n">
        <v>25</v>
      </c>
      <c r="D31" s="24" t="inlineStr">
        <is>
          <t>年</t>
        </is>
      </c>
      <c r="G31" s="31" t="inlineStr">
        <is>
          <t>年就近消纳输配电费（万元）</t>
        </is>
      </c>
      <c r="H31" s="48">
        <f>_zpo09w</f>
        <v/>
      </c>
    </row>
    <row r="32" ht="15.5" customHeight="1">
      <c r="B32" s="31" t="inlineStr">
        <is>
          <t>折旧年限</t>
        </is>
      </c>
      <c r="C32" s="47" t="n">
        <v>20</v>
      </c>
      <c r="D32" s="24" t="inlineStr">
        <is>
          <t>年</t>
        </is>
      </c>
      <c r="G32" s="31" t="inlineStr">
        <is>
          <t>年政府性基金及附加（万元）</t>
        </is>
      </c>
      <c r="H32" s="48">
        <f>_z6l4ri</f>
        <v/>
      </c>
    </row>
    <row r="33" ht="15.5" customHeight="1">
      <c r="B33" s="31" t="inlineStr">
        <is>
          <t>残值率</t>
        </is>
      </c>
      <c r="C33" s="46" t="n">
        <v>0.05</v>
      </c>
      <c r="D33" s="24" t="inlineStr">
        <is>
          <t>%</t>
        </is>
      </c>
      <c r="G33" s="31" t="inlineStr">
        <is>
          <t>柴发年燃料成本（万元）</t>
        </is>
      </c>
      <c r="H33" s="48">
        <f>_zdd3mz</f>
        <v/>
      </c>
    </row>
    <row r="34" ht="15.5" customHeight="1">
      <c r="B34" s="31" t="inlineStr">
        <is>
          <t>所得税率</t>
        </is>
      </c>
      <c r="C34" s="46" t="n">
        <v>0.25</v>
      </c>
      <c r="D34" s="24" t="inlineStr">
        <is>
          <t>%</t>
        </is>
      </c>
      <c r="G34" s="31" t="inlineStr">
        <is>
          <t>其他电源年成本（万元）</t>
        </is>
      </c>
      <c r="H34" s="48">
        <f>_z2y4dt</f>
        <v/>
      </c>
    </row>
    <row r="35" ht="15.5" customHeight="1">
      <c r="B35" s="31" t="inlineStr">
        <is>
          <t>所得税三免三减半</t>
        </is>
      </c>
      <c r="C35" s="32" t="inlineStr">
        <is>
          <t>否</t>
        </is>
      </c>
      <c r="D35" s="24" t="inlineStr"/>
      <c r="G35" s="31" t="inlineStr">
        <is>
          <t>年综合用电成本（万元）</t>
        </is>
      </c>
      <c r="H35" s="48">
        <f>_zmkp8w</f>
        <v/>
      </c>
    </row>
    <row r="36" ht="15.5" customHeight="1">
      <c r="B36" s="31" t="inlineStr">
        <is>
          <t>可抵扣进项税比例</t>
        </is>
      </c>
      <c r="C36" s="46" t="n">
        <v>0.1</v>
      </c>
      <c r="D36" s="24" t="inlineStr">
        <is>
          <t>%</t>
        </is>
      </c>
      <c r="G36" s="31" t="inlineStr">
        <is>
          <t>综合到户电价（元/kWh）</t>
        </is>
      </c>
      <c r="H36" s="49">
        <f>_zmbbnb</f>
        <v/>
      </c>
    </row>
    <row r="37" ht="15.5" customHeight="1">
      <c r="B37" s="31" t="inlineStr">
        <is>
          <t>基准折现率</t>
        </is>
      </c>
      <c r="C37" s="46" t="n">
        <v>0.06</v>
      </c>
      <c r="D37" s="24" t="inlineStr">
        <is>
          <t>%</t>
        </is>
      </c>
      <c r="G37" s="31" t="inlineStr">
        <is>
          <t>全量电网供电对照成本（万元）</t>
        </is>
      </c>
      <c r="H37" s="48">
        <f>_z3wzt4</f>
        <v/>
      </c>
    </row>
    <row r="38" ht="15.5" customHeight="1">
      <c r="G38" s="31" t="inlineStr">
        <is>
          <t>年节省额（万元）</t>
        </is>
      </c>
      <c r="H38" s="48">
        <f>_zbx4ou</f>
        <v/>
      </c>
    </row>
    <row r="39" ht="15.5" customHeight="1">
      <c r="B39" s="50">
        <f>IF(_z9rhi7&gt;25,"运营期超过25年上限：年度现金流表最长25年，当前结果不完整，请修改运营期或用介子九维小程序测算","")</f>
        <v/>
      </c>
      <c r="G39" s="31" t="inlineStr">
        <is>
          <t>节省率</t>
        </is>
      </c>
      <c r="H39" s="44">
        <f>_zisdds</f>
        <v/>
      </c>
    </row>
    <row r="40" ht="15.5" customHeight="1">
      <c r="G40" s="31" t="inlineStr">
        <is>
          <t>① 自发自用节省（万元）</t>
        </is>
      </c>
      <c r="H40" s="48">
        <f>_zgk3lw</f>
        <v/>
      </c>
    </row>
    <row r="41" ht="15.5" customHeight="1">
      <c r="G41" s="31" t="inlineStr">
        <is>
          <t>② 峰谷套利（万元）</t>
        </is>
      </c>
      <c r="H41" s="48">
        <f>_zriby8</f>
        <v/>
      </c>
    </row>
    <row r="42" ht="15.5" customHeight="1">
      <c r="G42" s="31" t="inlineStr">
        <is>
          <t>③ 需量优化（万元）</t>
        </is>
      </c>
      <c r="H42" s="48">
        <f>_zbpwff</f>
        <v/>
      </c>
    </row>
    <row r="43" ht="15.5" customHeight="1">
      <c r="G43" s="31" t="inlineStr">
        <is>
          <t>④ 余电上网（万元）</t>
        </is>
      </c>
      <c r="H43" s="48">
        <f>_z7m6d8</f>
        <v/>
      </c>
    </row>
    <row r="44" ht="15.5" customHeight="1">
      <c r="G44" s="31" t="inlineStr">
        <is>
          <t>⑤ 需求响应（万元）</t>
        </is>
      </c>
      <c r="H44" s="48">
        <f>_ziv1gc</f>
        <v/>
      </c>
    </row>
    <row r="45" ht="15.5" customHeight="1">
      <c r="G45" s="31" t="inlineStr">
        <is>
          <t>⑥ 充电桩服务费（万元）</t>
        </is>
      </c>
      <c r="H45" s="48">
        <f>_zz1w2z</f>
        <v/>
      </c>
    </row>
    <row r="46" ht="15.5" customHeight="1">
      <c r="G46" s="31" t="inlineStr">
        <is>
          <t>⑦ 环境价值（单列，万元）</t>
        </is>
      </c>
      <c r="H46" s="48">
        <f>_zq1zhk</f>
        <v/>
      </c>
    </row>
    <row r="47" ht="15.5" customHeight="1">
      <c r="G47" s="31" t="inlineStr">
        <is>
          <t>自用/可用发电量</t>
        </is>
      </c>
      <c r="H47" s="44">
        <f>_zq9jto</f>
        <v/>
      </c>
    </row>
    <row r="48" ht="15.5" customHeight="1">
      <c r="G48" s="31" t="inlineStr">
        <is>
          <t>自用/年用电量</t>
        </is>
      </c>
      <c r="H48" s="44">
        <f>_z31n7i</f>
        <v/>
      </c>
    </row>
    <row r="49" ht="15.5" customHeight="1">
      <c r="G49" s="31" t="inlineStr">
        <is>
          <t>可再生装机占比</t>
        </is>
      </c>
      <c r="H49" s="44">
        <f>_z4zxd3</f>
        <v/>
      </c>
    </row>
    <row r="50" ht="15.5" customHeight="1"/>
    <row r="51" ht="18" customHeight="1">
      <c r="G51" s="26" t="inlineStr">
        <is>
          <t>投资构成</t>
        </is>
      </c>
      <c r="H51" s="27" t="n"/>
      <c r="I51" s="27" t="n"/>
    </row>
    <row r="52" ht="15.5" customHeight="1">
      <c r="G52" s="31" t="inlineStr">
        <is>
          <t>光伏投资</t>
        </is>
      </c>
      <c r="H52" s="48">
        <f>_zkh06o</f>
        <v/>
      </c>
      <c r="I52" s="24" t="inlineStr">
        <is>
          <t>万元</t>
        </is>
      </c>
    </row>
    <row r="53" ht="15.5" customHeight="1">
      <c r="G53" s="31" t="inlineStr">
        <is>
          <t>风电投资</t>
        </is>
      </c>
      <c r="H53" s="48">
        <f>_z517d3</f>
        <v/>
      </c>
      <c r="I53" s="24" t="inlineStr">
        <is>
          <t>万元</t>
        </is>
      </c>
    </row>
    <row r="54" ht="15.5" customHeight="1">
      <c r="G54" s="31" t="inlineStr">
        <is>
          <t>储能投资</t>
        </is>
      </c>
      <c r="H54" s="48">
        <f>_z4p8is</f>
        <v/>
      </c>
      <c r="I54" s="24" t="inlineStr">
        <is>
          <t>万元</t>
        </is>
      </c>
    </row>
    <row r="55" ht="15.5" customHeight="1">
      <c r="G55" s="31" t="inlineStr">
        <is>
          <t>柴发投资</t>
        </is>
      </c>
      <c r="H55" s="48">
        <f>_zka9am</f>
        <v/>
      </c>
      <c r="I55" s="24" t="inlineStr">
        <is>
          <t>万元</t>
        </is>
      </c>
    </row>
    <row r="56" ht="15.5" customHeight="1">
      <c r="G56" s="31" t="inlineStr">
        <is>
          <t>充电桩投资</t>
        </is>
      </c>
      <c r="H56" s="48">
        <f>_zh76h3</f>
        <v/>
      </c>
      <c r="I56" s="24" t="inlineStr">
        <is>
          <t>万元</t>
        </is>
      </c>
    </row>
    <row r="57" ht="15.5" customHeight="1">
      <c r="G57" s="31" t="inlineStr">
        <is>
          <t>配电工程等其他投资</t>
        </is>
      </c>
      <c r="H57" s="48">
        <f>_zcyms1</f>
        <v/>
      </c>
      <c r="I57" s="24" t="inlineStr">
        <is>
          <t>万元</t>
        </is>
      </c>
    </row>
    <row r="58" ht="15.5" customHeight="1">
      <c r="G58" s="31" t="inlineStr">
        <is>
          <t>其他电源投资</t>
        </is>
      </c>
      <c r="H58" s="48">
        <f>_zghrhb</f>
        <v/>
      </c>
      <c r="I58" s="24" t="inlineStr">
        <is>
          <t>万元</t>
        </is>
      </c>
    </row>
    <row r="59" ht="15.5" customHeight="1">
      <c r="G59" s="31" t="inlineStr">
        <is>
          <t>总投资</t>
        </is>
      </c>
      <c r="H59" s="48">
        <f>_z1tt59</f>
        <v/>
      </c>
      <c r="I59" s="24" t="inlineStr">
        <is>
          <t>万元</t>
        </is>
      </c>
    </row>
    <row r="60" ht="15.5" customHeight="1">
      <c r="G60" s="31" t="inlineStr">
        <is>
          <t>资本金</t>
        </is>
      </c>
      <c r="H60" s="48">
        <f>_zn0hoh</f>
        <v/>
      </c>
      <c r="I60" s="24" t="inlineStr">
        <is>
          <t>万元</t>
        </is>
      </c>
    </row>
    <row r="61" ht="15.5" customHeight="1">
      <c r="G61" s="31" t="inlineStr">
        <is>
          <t>贷款</t>
        </is>
      </c>
      <c r="H61" s="48">
        <f>_zmqr32</f>
        <v/>
      </c>
      <c r="I61" s="24" t="inlineStr">
        <is>
          <t>万元</t>
        </is>
      </c>
    </row>
    <row r="62" ht="15.5" customHeight="1"/>
    <row r="63" ht="18" customHeight="1">
      <c r="G63" s="26" t="inlineStr">
        <is>
          <t>综合到户电价对比（元/kWh）</t>
        </is>
      </c>
      <c r="H63" s="27" t="n"/>
      <c r="I63" s="27" t="n"/>
    </row>
    <row r="64" ht="15.5" customHeight="1">
      <c r="G64" s="31" t="inlineStr">
        <is>
          <t>微电网综合到户电价</t>
        </is>
      </c>
      <c r="H64" s="49">
        <f>_zmbbnb</f>
        <v/>
      </c>
      <c r="I64" s="24" t="inlineStr">
        <is>
          <t>元/kWh</t>
        </is>
      </c>
    </row>
    <row r="65" ht="15.5" customHeight="1">
      <c r="G65" s="31" t="inlineStr">
        <is>
          <t>全量电网供电对照价</t>
        </is>
      </c>
      <c r="H65" s="49">
        <f>IF(_zpjfi7&gt;0,_z3wzt4/_zpjfi7,0)</f>
        <v/>
      </c>
      <c r="I65" s="24" t="inlineStr">
        <is>
          <t>元/kWh</t>
        </is>
      </c>
    </row>
    <row r="66" ht="15.5" customHeight="1"/>
    <row r="67" ht="15.5" customHeight="1"/>
    <row r="68" ht="18" customHeight="1">
      <c r="B68" s="26" t="inlineStr">
        <is>
          <t>逐年现金流（万元）</t>
        </is>
      </c>
      <c r="C68" s="27" t="n"/>
      <c r="D68" s="27" t="n"/>
    </row>
    <row r="69" ht="30" customHeight="1">
      <c r="B69" s="51" t="inlineStr">
        <is>
          <t>年份</t>
        </is>
      </c>
      <c r="C69" s="52" t="inlineStr">
        <is>
          <t>年收益合计（扣燃料成本）</t>
        </is>
      </c>
      <c r="D69" s="52" t="inlineStr">
        <is>
          <t>运维保险及租金</t>
        </is>
      </c>
      <c r="E69" s="52" t="inlineStr">
        <is>
          <t>实缴增值税</t>
        </is>
      </c>
      <c r="F69" s="52" t="inlineStr">
        <is>
          <t>附加税费</t>
        </is>
      </c>
      <c r="G69" s="52" t="inlineStr">
        <is>
          <t>更换支出</t>
        </is>
      </c>
      <c r="H69" s="52" t="inlineStr">
        <is>
          <t>期末回收</t>
        </is>
      </c>
      <c r="I69" s="52" t="inlineStr">
        <is>
          <t>所得税（全投资）</t>
        </is>
      </c>
      <c r="J69" s="52" t="inlineStr">
        <is>
          <t>税后全投资净现金流</t>
        </is>
      </c>
      <c r="K69" s="52" t="inlineStr">
        <is>
          <t>累计</t>
        </is>
      </c>
      <c r="L69" s="53" t="inlineStr">
        <is>
          <t>资本金净现金流</t>
        </is>
      </c>
    </row>
    <row r="70" ht="15.5" customHeight="1">
      <c r="B70" s="54" t="n">
        <v>0</v>
      </c>
      <c r="C70" s="37">
        <f>'_引擎'!E64</f>
        <v/>
      </c>
      <c r="D70" s="37" t="n">
        <v>0</v>
      </c>
      <c r="E70" s="37">
        <f>'_引擎'!M64</f>
        <v/>
      </c>
      <c r="F70" s="37">
        <f>'_引擎'!O64</f>
        <v/>
      </c>
      <c r="G70" s="37">
        <f>'_引擎'!F64</f>
        <v/>
      </c>
      <c r="H70" s="37">
        <f>'_引擎'!AQ64</f>
        <v/>
      </c>
      <c r="I70" s="37">
        <f>'_引擎'!AG64</f>
        <v/>
      </c>
      <c r="J70" s="37">
        <f>'_引擎'!AS64</f>
        <v/>
      </c>
      <c r="K70" s="37">
        <f>'_引擎'!AU64</f>
        <v/>
      </c>
      <c r="L70" s="55">
        <f>'_引擎'!AT64</f>
        <v/>
      </c>
    </row>
    <row r="71" ht="15.5" customHeight="1">
      <c r="B71" s="54" t="n">
        <v>1</v>
      </c>
      <c r="C71" s="37">
        <f>'_引擎'!E65</f>
        <v/>
      </c>
      <c r="D71" s="37">
        <f>IF('_引擎'!B65,_zkfhzg,0)</f>
        <v/>
      </c>
      <c r="E71" s="37">
        <f>'_引擎'!M65</f>
        <v/>
      </c>
      <c r="F71" s="37">
        <f>'_引擎'!O65</f>
        <v/>
      </c>
      <c r="G71" s="37">
        <f>'_引擎'!F65</f>
        <v/>
      </c>
      <c r="H71" s="37">
        <f>'_引擎'!AQ65</f>
        <v/>
      </c>
      <c r="I71" s="37">
        <f>'_引擎'!AG65</f>
        <v/>
      </c>
      <c r="J71" s="37">
        <f>'_引擎'!AS65</f>
        <v/>
      </c>
      <c r="K71" s="37">
        <f>'_引擎'!AU65</f>
        <v/>
      </c>
      <c r="L71" s="55">
        <f>'_引擎'!AT65</f>
        <v/>
      </c>
    </row>
    <row r="72" ht="15.5" customHeight="1">
      <c r="B72" s="54" t="n">
        <v>2</v>
      </c>
      <c r="C72" s="37">
        <f>'_引擎'!E66</f>
        <v/>
      </c>
      <c r="D72" s="37">
        <f>IF('_引擎'!B66,_zkfhzg,0)</f>
        <v/>
      </c>
      <c r="E72" s="37">
        <f>'_引擎'!M66</f>
        <v/>
      </c>
      <c r="F72" s="37">
        <f>'_引擎'!O66</f>
        <v/>
      </c>
      <c r="G72" s="37">
        <f>'_引擎'!F66</f>
        <v/>
      </c>
      <c r="H72" s="37">
        <f>'_引擎'!AQ66</f>
        <v/>
      </c>
      <c r="I72" s="37">
        <f>'_引擎'!AG66</f>
        <v/>
      </c>
      <c r="J72" s="37">
        <f>'_引擎'!AS66</f>
        <v/>
      </c>
      <c r="K72" s="37">
        <f>'_引擎'!AU66</f>
        <v/>
      </c>
      <c r="L72" s="55">
        <f>'_引擎'!AT66</f>
        <v/>
      </c>
    </row>
    <row r="73" ht="15.5" customHeight="1">
      <c r="B73" s="54" t="n">
        <v>3</v>
      </c>
      <c r="C73" s="37">
        <f>'_引擎'!E67</f>
        <v/>
      </c>
      <c r="D73" s="37">
        <f>IF('_引擎'!B67,_zkfhzg,0)</f>
        <v/>
      </c>
      <c r="E73" s="37">
        <f>'_引擎'!M67</f>
        <v/>
      </c>
      <c r="F73" s="37">
        <f>'_引擎'!O67</f>
        <v/>
      </c>
      <c r="G73" s="37">
        <f>'_引擎'!F67</f>
        <v/>
      </c>
      <c r="H73" s="37">
        <f>'_引擎'!AQ67</f>
        <v/>
      </c>
      <c r="I73" s="37">
        <f>'_引擎'!AG67</f>
        <v/>
      </c>
      <c r="J73" s="37">
        <f>'_引擎'!AS67</f>
        <v/>
      </c>
      <c r="K73" s="37">
        <f>'_引擎'!AU67</f>
        <v/>
      </c>
      <c r="L73" s="55">
        <f>'_引擎'!AT67</f>
        <v/>
      </c>
    </row>
    <row r="74" ht="15.5" customHeight="1">
      <c r="B74" s="54" t="n">
        <v>4</v>
      </c>
      <c r="C74" s="37">
        <f>'_引擎'!E68</f>
        <v/>
      </c>
      <c r="D74" s="37">
        <f>IF('_引擎'!B68,_zkfhzg,0)</f>
        <v/>
      </c>
      <c r="E74" s="37">
        <f>'_引擎'!M68</f>
        <v/>
      </c>
      <c r="F74" s="37">
        <f>'_引擎'!O68</f>
        <v/>
      </c>
      <c r="G74" s="37">
        <f>'_引擎'!F68</f>
        <v/>
      </c>
      <c r="H74" s="37">
        <f>'_引擎'!AQ68</f>
        <v/>
      </c>
      <c r="I74" s="37">
        <f>'_引擎'!AG68</f>
        <v/>
      </c>
      <c r="J74" s="37">
        <f>'_引擎'!AS68</f>
        <v/>
      </c>
      <c r="K74" s="37">
        <f>'_引擎'!AU68</f>
        <v/>
      </c>
      <c r="L74" s="55">
        <f>'_引擎'!AT68</f>
        <v/>
      </c>
    </row>
    <row r="75" ht="15.5" customHeight="1">
      <c r="B75" s="54" t="n">
        <v>5</v>
      </c>
      <c r="C75" s="37">
        <f>'_引擎'!E69</f>
        <v/>
      </c>
      <c r="D75" s="37">
        <f>IF('_引擎'!B69,_zkfhzg,0)</f>
        <v/>
      </c>
      <c r="E75" s="37">
        <f>'_引擎'!M69</f>
        <v/>
      </c>
      <c r="F75" s="37">
        <f>'_引擎'!O69</f>
        <v/>
      </c>
      <c r="G75" s="37">
        <f>'_引擎'!F69</f>
        <v/>
      </c>
      <c r="H75" s="37">
        <f>'_引擎'!AQ69</f>
        <v/>
      </c>
      <c r="I75" s="37">
        <f>'_引擎'!AG69</f>
        <v/>
      </c>
      <c r="J75" s="37">
        <f>'_引擎'!AS69</f>
        <v/>
      </c>
      <c r="K75" s="37">
        <f>'_引擎'!AU69</f>
        <v/>
      </c>
      <c r="L75" s="55">
        <f>'_引擎'!AT69</f>
        <v/>
      </c>
    </row>
    <row r="76" ht="15.5" customHeight="1">
      <c r="B76" s="54" t="n">
        <v>6</v>
      </c>
      <c r="C76" s="37">
        <f>'_引擎'!E70</f>
        <v/>
      </c>
      <c r="D76" s="37">
        <f>IF('_引擎'!B70,_zkfhzg,0)</f>
        <v/>
      </c>
      <c r="E76" s="37">
        <f>'_引擎'!M70</f>
        <v/>
      </c>
      <c r="F76" s="37">
        <f>'_引擎'!O70</f>
        <v/>
      </c>
      <c r="G76" s="37">
        <f>'_引擎'!F70</f>
        <v/>
      </c>
      <c r="H76" s="37">
        <f>'_引擎'!AQ70</f>
        <v/>
      </c>
      <c r="I76" s="37">
        <f>'_引擎'!AG70</f>
        <v/>
      </c>
      <c r="J76" s="37">
        <f>'_引擎'!AS70</f>
        <v/>
      </c>
      <c r="K76" s="37">
        <f>'_引擎'!AU70</f>
        <v/>
      </c>
      <c r="L76" s="55">
        <f>'_引擎'!AT70</f>
        <v/>
      </c>
    </row>
    <row r="77" ht="15.5" customHeight="1">
      <c r="B77" s="54" t="n">
        <v>7</v>
      </c>
      <c r="C77" s="37">
        <f>'_引擎'!E71</f>
        <v/>
      </c>
      <c r="D77" s="37">
        <f>IF('_引擎'!B71,_zkfhzg,0)</f>
        <v/>
      </c>
      <c r="E77" s="37">
        <f>'_引擎'!M71</f>
        <v/>
      </c>
      <c r="F77" s="37">
        <f>'_引擎'!O71</f>
        <v/>
      </c>
      <c r="G77" s="37">
        <f>'_引擎'!F71</f>
        <v/>
      </c>
      <c r="H77" s="37">
        <f>'_引擎'!AQ71</f>
        <v/>
      </c>
      <c r="I77" s="37">
        <f>'_引擎'!AG71</f>
        <v/>
      </c>
      <c r="J77" s="37">
        <f>'_引擎'!AS71</f>
        <v/>
      </c>
      <c r="K77" s="37">
        <f>'_引擎'!AU71</f>
        <v/>
      </c>
      <c r="L77" s="55">
        <f>'_引擎'!AT71</f>
        <v/>
      </c>
    </row>
    <row r="78" ht="15.5" customHeight="1">
      <c r="B78" s="54" t="n">
        <v>8</v>
      </c>
      <c r="C78" s="37">
        <f>'_引擎'!E72</f>
        <v/>
      </c>
      <c r="D78" s="37">
        <f>IF('_引擎'!B72,_zkfhzg,0)</f>
        <v/>
      </c>
      <c r="E78" s="37">
        <f>'_引擎'!M72</f>
        <v/>
      </c>
      <c r="F78" s="37">
        <f>'_引擎'!O72</f>
        <v/>
      </c>
      <c r="G78" s="37">
        <f>'_引擎'!F72</f>
        <v/>
      </c>
      <c r="H78" s="37">
        <f>'_引擎'!AQ72</f>
        <v/>
      </c>
      <c r="I78" s="37">
        <f>'_引擎'!AG72</f>
        <v/>
      </c>
      <c r="J78" s="37">
        <f>'_引擎'!AS72</f>
        <v/>
      </c>
      <c r="K78" s="37">
        <f>'_引擎'!AU72</f>
        <v/>
      </c>
      <c r="L78" s="55">
        <f>'_引擎'!AT72</f>
        <v/>
      </c>
    </row>
    <row r="79" ht="15.5" customHeight="1">
      <c r="B79" s="54" t="n">
        <v>9</v>
      </c>
      <c r="C79" s="37">
        <f>'_引擎'!E73</f>
        <v/>
      </c>
      <c r="D79" s="37">
        <f>IF('_引擎'!B73,_zkfhzg,0)</f>
        <v/>
      </c>
      <c r="E79" s="37">
        <f>'_引擎'!M73</f>
        <v/>
      </c>
      <c r="F79" s="37">
        <f>'_引擎'!O73</f>
        <v/>
      </c>
      <c r="G79" s="37">
        <f>'_引擎'!F73</f>
        <v/>
      </c>
      <c r="H79" s="37">
        <f>'_引擎'!AQ73</f>
        <v/>
      </c>
      <c r="I79" s="37">
        <f>'_引擎'!AG73</f>
        <v/>
      </c>
      <c r="J79" s="37">
        <f>'_引擎'!AS73</f>
        <v/>
      </c>
      <c r="K79" s="37">
        <f>'_引擎'!AU73</f>
        <v/>
      </c>
      <c r="L79" s="55">
        <f>'_引擎'!AT73</f>
        <v/>
      </c>
    </row>
    <row r="80" ht="15.5" customHeight="1">
      <c r="B80" s="54" t="n">
        <v>10</v>
      </c>
      <c r="C80" s="37">
        <f>'_引擎'!E74</f>
        <v/>
      </c>
      <c r="D80" s="37">
        <f>IF('_引擎'!B74,_zkfhzg,0)</f>
        <v/>
      </c>
      <c r="E80" s="37">
        <f>'_引擎'!M74</f>
        <v/>
      </c>
      <c r="F80" s="37">
        <f>'_引擎'!O74</f>
        <v/>
      </c>
      <c r="G80" s="37">
        <f>'_引擎'!F74</f>
        <v/>
      </c>
      <c r="H80" s="37">
        <f>'_引擎'!AQ74</f>
        <v/>
      </c>
      <c r="I80" s="37">
        <f>'_引擎'!AG74</f>
        <v/>
      </c>
      <c r="J80" s="37">
        <f>'_引擎'!AS74</f>
        <v/>
      </c>
      <c r="K80" s="37">
        <f>'_引擎'!AU74</f>
        <v/>
      </c>
      <c r="L80" s="55">
        <f>'_引擎'!AT74</f>
        <v/>
      </c>
    </row>
    <row r="81" ht="15.5" customHeight="1">
      <c r="B81" s="54" t="n">
        <v>11</v>
      </c>
      <c r="C81" s="37">
        <f>'_引擎'!E75</f>
        <v/>
      </c>
      <c r="D81" s="37">
        <f>IF('_引擎'!B75,_zkfhzg,0)</f>
        <v/>
      </c>
      <c r="E81" s="37">
        <f>'_引擎'!M75</f>
        <v/>
      </c>
      <c r="F81" s="37">
        <f>'_引擎'!O75</f>
        <v/>
      </c>
      <c r="G81" s="37">
        <f>'_引擎'!F75</f>
        <v/>
      </c>
      <c r="H81" s="37">
        <f>'_引擎'!AQ75</f>
        <v/>
      </c>
      <c r="I81" s="37">
        <f>'_引擎'!AG75</f>
        <v/>
      </c>
      <c r="J81" s="37">
        <f>'_引擎'!AS75</f>
        <v/>
      </c>
      <c r="K81" s="37">
        <f>'_引擎'!AU75</f>
        <v/>
      </c>
      <c r="L81" s="55">
        <f>'_引擎'!AT75</f>
        <v/>
      </c>
    </row>
    <row r="82" ht="15.5" customHeight="1">
      <c r="B82" s="54" t="n">
        <v>12</v>
      </c>
      <c r="C82" s="37">
        <f>'_引擎'!E76</f>
        <v/>
      </c>
      <c r="D82" s="37">
        <f>IF('_引擎'!B76,_zkfhzg,0)</f>
        <v/>
      </c>
      <c r="E82" s="37">
        <f>'_引擎'!M76</f>
        <v/>
      </c>
      <c r="F82" s="37">
        <f>'_引擎'!O76</f>
        <v/>
      </c>
      <c r="G82" s="37">
        <f>'_引擎'!F76</f>
        <v/>
      </c>
      <c r="H82" s="37">
        <f>'_引擎'!AQ76</f>
        <v/>
      </c>
      <c r="I82" s="37">
        <f>'_引擎'!AG76</f>
        <v/>
      </c>
      <c r="J82" s="37">
        <f>'_引擎'!AS76</f>
        <v/>
      </c>
      <c r="K82" s="37">
        <f>'_引擎'!AU76</f>
        <v/>
      </c>
      <c r="L82" s="55">
        <f>'_引擎'!AT76</f>
        <v/>
      </c>
    </row>
    <row r="83" ht="15.5" customHeight="1">
      <c r="B83" s="54" t="n">
        <v>13</v>
      </c>
      <c r="C83" s="37">
        <f>'_引擎'!E77</f>
        <v/>
      </c>
      <c r="D83" s="37">
        <f>IF('_引擎'!B77,_zkfhzg,0)</f>
        <v/>
      </c>
      <c r="E83" s="37">
        <f>'_引擎'!M77</f>
        <v/>
      </c>
      <c r="F83" s="37">
        <f>'_引擎'!O77</f>
        <v/>
      </c>
      <c r="G83" s="37">
        <f>'_引擎'!F77</f>
        <v/>
      </c>
      <c r="H83" s="37">
        <f>'_引擎'!AQ77</f>
        <v/>
      </c>
      <c r="I83" s="37">
        <f>'_引擎'!AG77</f>
        <v/>
      </c>
      <c r="J83" s="37">
        <f>'_引擎'!AS77</f>
        <v/>
      </c>
      <c r="K83" s="37">
        <f>'_引擎'!AU77</f>
        <v/>
      </c>
      <c r="L83" s="55">
        <f>'_引擎'!AT77</f>
        <v/>
      </c>
    </row>
    <row r="84" ht="15.5" customHeight="1">
      <c r="B84" s="54" t="n">
        <v>14</v>
      </c>
      <c r="C84" s="37">
        <f>'_引擎'!E78</f>
        <v/>
      </c>
      <c r="D84" s="37">
        <f>IF('_引擎'!B78,_zkfhzg,0)</f>
        <v/>
      </c>
      <c r="E84" s="37">
        <f>'_引擎'!M78</f>
        <v/>
      </c>
      <c r="F84" s="37">
        <f>'_引擎'!O78</f>
        <v/>
      </c>
      <c r="G84" s="37">
        <f>'_引擎'!F78</f>
        <v/>
      </c>
      <c r="H84" s="37">
        <f>'_引擎'!AQ78</f>
        <v/>
      </c>
      <c r="I84" s="37">
        <f>'_引擎'!AG78</f>
        <v/>
      </c>
      <c r="J84" s="37">
        <f>'_引擎'!AS78</f>
        <v/>
      </c>
      <c r="K84" s="37">
        <f>'_引擎'!AU78</f>
        <v/>
      </c>
      <c r="L84" s="55">
        <f>'_引擎'!AT78</f>
        <v/>
      </c>
    </row>
    <row r="85" ht="15.5" customHeight="1">
      <c r="B85" s="54" t="n">
        <v>15</v>
      </c>
      <c r="C85" s="37">
        <f>'_引擎'!E79</f>
        <v/>
      </c>
      <c r="D85" s="37">
        <f>IF('_引擎'!B79,_zkfhzg,0)</f>
        <v/>
      </c>
      <c r="E85" s="37">
        <f>'_引擎'!M79</f>
        <v/>
      </c>
      <c r="F85" s="37">
        <f>'_引擎'!O79</f>
        <v/>
      </c>
      <c r="G85" s="37">
        <f>'_引擎'!F79</f>
        <v/>
      </c>
      <c r="H85" s="37">
        <f>'_引擎'!AQ79</f>
        <v/>
      </c>
      <c r="I85" s="37">
        <f>'_引擎'!AG79</f>
        <v/>
      </c>
      <c r="J85" s="37">
        <f>'_引擎'!AS79</f>
        <v/>
      </c>
      <c r="K85" s="37">
        <f>'_引擎'!AU79</f>
        <v/>
      </c>
      <c r="L85" s="55">
        <f>'_引擎'!AT79</f>
        <v/>
      </c>
    </row>
    <row r="86" ht="15.5" customHeight="1">
      <c r="B86" s="54" t="n">
        <v>16</v>
      </c>
      <c r="C86" s="37">
        <f>'_引擎'!E80</f>
        <v/>
      </c>
      <c r="D86" s="37">
        <f>IF('_引擎'!B80,_zkfhzg,0)</f>
        <v/>
      </c>
      <c r="E86" s="37">
        <f>'_引擎'!M80</f>
        <v/>
      </c>
      <c r="F86" s="37">
        <f>'_引擎'!O80</f>
        <v/>
      </c>
      <c r="G86" s="37">
        <f>'_引擎'!F80</f>
        <v/>
      </c>
      <c r="H86" s="37">
        <f>'_引擎'!AQ80</f>
        <v/>
      </c>
      <c r="I86" s="37">
        <f>'_引擎'!AG80</f>
        <v/>
      </c>
      <c r="J86" s="37">
        <f>'_引擎'!AS80</f>
        <v/>
      </c>
      <c r="K86" s="37">
        <f>'_引擎'!AU80</f>
        <v/>
      </c>
      <c r="L86" s="55">
        <f>'_引擎'!AT80</f>
        <v/>
      </c>
    </row>
    <row r="87" ht="15.5" customHeight="1">
      <c r="B87" s="54" t="n">
        <v>17</v>
      </c>
      <c r="C87" s="37">
        <f>'_引擎'!E81</f>
        <v/>
      </c>
      <c r="D87" s="37">
        <f>IF('_引擎'!B81,_zkfhzg,0)</f>
        <v/>
      </c>
      <c r="E87" s="37">
        <f>'_引擎'!M81</f>
        <v/>
      </c>
      <c r="F87" s="37">
        <f>'_引擎'!O81</f>
        <v/>
      </c>
      <c r="G87" s="37">
        <f>'_引擎'!F81</f>
        <v/>
      </c>
      <c r="H87" s="37">
        <f>'_引擎'!AQ81</f>
        <v/>
      </c>
      <c r="I87" s="37">
        <f>'_引擎'!AG81</f>
        <v/>
      </c>
      <c r="J87" s="37">
        <f>'_引擎'!AS81</f>
        <v/>
      </c>
      <c r="K87" s="37">
        <f>'_引擎'!AU81</f>
        <v/>
      </c>
      <c r="L87" s="55">
        <f>'_引擎'!AT81</f>
        <v/>
      </c>
    </row>
    <row r="88" ht="15.5" customHeight="1">
      <c r="B88" s="54" t="n">
        <v>18</v>
      </c>
      <c r="C88" s="37">
        <f>'_引擎'!E82</f>
        <v/>
      </c>
      <c r="D88" s="37">
        <f>IF('_引擎'!B82,_zkfhzg,0)</f>
        <v/>
      </c>
      <c r="E88" s="37">
        <f>'_引擎'!M82</f>
        <v/>
      </c>
      <c r="F88" s="37">
        <f>'_引擎'!O82</f>
        <v/>
      </c>
      <c r="G88" s="37">
        <f>'_引擎'!F82</f>
        <v/>
      </c>
      <c r="H88" s="37">
        <f>'_引擎'!AQ82</f>
        <v/>
      </c>
      <c r="I88" s="37">
        <f>'_引擎'!AG82</f>
        <v/>
      </c>
      <c r="J88" s="37">
        <f>'_引擎'!AS82</f>
        <v/>
      </c>
      <c r="K88" s="37">
        <f>'_引擎'!AU82</f>
        <v/>
      </c>
      <c r="L88" s="55">
        <f>'_引擎'!AT82</f>
        <v/>
      </c>
    </row>
    <row r="89" ht="15.5" customHeight="1">
      <c r="B89" s="54" t="n">
        <v>19</v>
      </c>
      <c r="C89" s="37">
        <f>'_引擎'!E83</f>
        <v/>
      </c>
      <c r="D89" s="37">
        <f>IF('_引擎'!B83,_zkfhzg,0)</f>
        <v/>
      </c>
      <c r="E89" s="37">
        <f>'_引擎'!M83</f>
        <v/>
      </c>
      <c r="F89" s="37">
        <f>'_引擎'!O83</f>
        <v/>
      </c>
      <c r="G89" s="37">
        <f>'_引擎'!F83</f>
        <v/>
      </c>
      <c r="H89" s="37">
        <f>'_引擎'!AQ83</f>
        <v/>
      </c>
      <c r="I89" s="37">
        <f>'_引擎'!AG83</f>
        <v/>
      </c>
      <c r="J89" s="37">
        <f>'_引擎'!AS83</f>
        <v/>
      </c>
      <c r="K89" s="37">
        <f>'_引擎'!AU83</f>
        <v/>
      </c>
      <c r="L89" s="55">
        <f>'_引擎'!AT83</f>
        <v/>
      </c>
    </row>
    <row r="90" ht="15.5" customHeight="1">
      <c r="B90" s="54" t="n">
        <v>20</v>
      </c>
      <c r="C90" s="37">
        <f>'_引擎'!E84</f>
        <v/>
      </c>
      <c r="D90" s="37">
        <f>IF('_引擎'!B84,_zkfhzg,0)</f>
        <v/>
      </c>
      <c r="E90" s="37">
        <f>'_引擎'!M84</f>
        <v/>
      </c>
      <c r="F90" s="37">
        <f>'_引擎'!O84</f>
        <v/>
      </c>
      <c r="G90" s="37">
        <f>'_引擎'!F84</f>
        <v/>
      </c>
      <c r="H90" s="37">
        <f>'_引擎'!AQ84</f>
        <v/>
      </c>
      <c r="I90" s="37">
        <f>'_引擎'!AG84</f>
        <v/>
      </c>
      <c r="J90" s="37">
        <f>'_引擎'!AS84</f>
        <v/>
      </c>
      <c r="K90" s="37">
        <f>'_引擎'!AU84</f>
        <v/>
      </c>
      <c r="L90" s="55">
        <f>'_引擎'!AT84</f>
        <v/>
      </c>
    </row>
    <row r="91" ht="15.5" customHeight="1">
      <c r="B91" s="54" t="n">
        <v>21</v>
      </c>
      <c r="C91" s="37">
        <f>'_引擎'!E85</f>
        <v/>
      </c>
      <c r="D91" s="37">
        <f>IF('_引擎'!B85,_zkfhzg,0)</f>
        <v/>
      </c>
      <c r="E91" s="37">
        <f>'_引擎'!M85</f>
        <v/>
      </c>
      <c r="F91" s="37">
        <f>'_引擎'!O85</f>
        <v/>
      </c>
      <c r="G91" s="37">
        <f>'_引擎'!F85</f>
        <v/>
      </c>
      <c r="H91" s="37">
        <f>'_引擎'!AQ85</f>
        <v/>
      </c>
      <c r="I91" s="37">
        <f>'_引擎'!AG85</f>
        <v/>
      </c>
      <c r="J91" s="37">
        <f>'_引擎'!AS85</f>
        <v/>
      </c>
      <c r="K91" s="37">
        <f>'_引擎'!AU85</f>
        <v/>
      </c>
      <c r="L91" s="55">
        <f>'_引擎'!AT85</f>
        <v/>
      </c>
    </row>
    <row r="92" ht="15.5" customHeight="1">
      <c r="B92" s="54" t="n">
        <v>22</v>
      </c>
      <c r="C92" s="37">
        <f>'_引擎'!E86</f>
        <v/>
      </c>
      <c r="D92" s="37">
        <f>IF('_引擎'!B86,_zkfhzg,0)</f>
        <v/>
      </c>
      <c r="E92" s="37">
        <f>'_引擎'!M86</f>
        <v/>
      </c>
      <c r="F92" s="37">
        <f>'_引擎'!O86</f>
        <v/>
      </c>
      <c r="G92" s="37">
        <f>'_引擎'!F86</f>
        <v/>
      </c>
      <c r="H92" s="37">
        <f>'_引擎'!AQ86</f>
        <v/>
      </c>
      <c r="I92" s="37">
        <f>'_引擎'!AG86</f>
        <v/>
      </c>
      <c r="J92" s="37">
        <f>'_引擎'!AS86</f>
        <v/>
      </c>
      <c r="K92" s="37">
        <f>'_引擎'!AU86</f>
        <v/>
      </c>
      <c r="L92" s="55">
        <f>'_引擎'!AT86</f>
        <v/>
      </c>
    </row>
    <row r="93" ht="15.5" customHeight="1">
      <c r="B93" s="54" t="n">
        <v>23</v>
      </c>
      <c r="C93" s="37">
        <f>'_引擎'!E87</f>
        <v/>
      </c>
      <c r="D93" s="37">
        <f>IF('_引擎'!B87,_zkfhzg,0)</f>
        <v/>
      </c>
      <c r="E93" s="37">
        <f>'_引擎'!M87</f>
        <v/>
      </c>
      <c r="F93" s="37">
        <f>'_引擎'!O87</f>
        <v/>
      </c>
      <c r="G93" s="37">
        <f>'_引擎'!F87</f>
        <v/>
      </c>
      <c r="H93" s="37">
        <f>'_引擎'!AQ87</f>
        <v/>
      </c>
      <c r="I93" s="37">
        <f>'_引擎'!AG87</f>
        <v/>
      </c>
      <c r="J93" s="37">
        <f>'_引擎'!AS87</f>
        <v/>
      </c>
      <c r="K93" s="37">
        <f>'_引擎'!AU87</f>
        <v/>
      </c>
      <c r="L93" s="55">
        <f>'_引擎'!AT87</f>
        <v/>
      </c>
    </row>
    <row r="94" ht="15.5" customHeight="1">
      <c r="B94" s="54" t="n">
        <v>24</v>
      </c>
      <c r="C94" s="37">
        <f>'_引擎'!E88</f>
        <v/>
      </c>
      <c r="D94" s="37">
        <f>IF('_引擎'!B88,_zkfhzg,0)</f>
        <v/>
      </c>
      <c r="E94" s="37">
        <f>'_引擎'!M88</f>
        <v/>
      </c>
      <c r="F94" s="37">
        <f>'_引擎'!O88</f>
        <v/>
      </c>
      <c r="G94" s="37">
        <f>'_引擎'!F88</f>
        <v/>
      </c>
      <c r="H94" s="37">
        <f>'_引擎'!AQ88</f>
        <v/>
      </c>
      <c r="I94" s="37">
        <f>'_引擎'!AG88</f>
        <v/>
      </c>
      <c r="J94" s="37">
        <f>'_引擎'!AS88</f>
        <v/>
      </c>
      <c r="K94" s="37">
        <f>'_引擎'!AU88</f>
        <v/>
      </c>
      <c r="L94" s="55">
        <f>'_引擎'!AT88</f>
        <v/>
      </c>
    </row>
    <row r="95" ht="15.5" customHeight="1">
      <c r="B95" s="56" t="n">
        <v>25</v>
      </c>
      <c r="C95" s="57">
        <f>'_引擎'!E89</f>
        <v/>
      </c>
      <c r="D95" s="57">
        <f>IF('_引擎'!B89,_zkfhzg,0)</f>
        <v/>
      </c>
      <c r="E95" s="57">
        <f>'_引擎'!M89</f>
        <v/>
      </c>
      <c r="F95" s="57">
        <f>'_引擎'!O89</f>
        <v/>
      </c>
      <c r="G95" s="57">
        <f>'_引擎'!F89</f>
        <v/>
      </c>
      <c r="H95" s="57">
        <f>'_引擎'!AQ89</f>
        <v/>
      </c>
      <c r="I95" s="57">
        <f>'_引擎'!AG89</f>
        <v/>
      </c>
      <c r="J95" s="57">
        <f>'_引擎'!AS89</f>
        <v/>
      </c>
      <c r="K95" s="57">
        <f>'_引擎'!AU89</f>
        <v/>
      </c>
      <c r="L95" s="58">
        <f>'_引擎'!AT89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7E"/>
  <mergeCells count="2">
    <mergeCell ref="B8:E8"/>
    <mergeCell ref="B6:E6"/>
  </mergeCells>
  <conditionalFormatting sqref="I16">
    <cfRule type="expression" priority="1" dxfId="0">
      <formula>$I$16="不满足"</formula>
    </cfRule>
    <cfRule type="expression" priority="2" dxfId="1">
      <formula>$I$16="满足"</formula>
    </cfRule>
  </conditionalFormatting>
  <conditionalFormatting sqref="I17">
    <cfRule type="expression" priority="3" dxfId="0">
      <formula>$I$17="不满足"</formula>
    </cfRule>
    <cfRule type="expression" priority="4" dxfId="1">
      <formula>$I$17="满足"</formula>
    </cfRule>
  </conditionalFormatting>
  <conditionalFormatting sqref="I18">
    <cfRule type="expression" priority="5" dxfId="0">
      <formula>$I$18="不满足"</formula>
    </cfRule>
    <cfRule type="expression" priority="6" dxfId="1">
      <formula>$I$18="满足"</formula>
    </cfRule>
  </conditionalFormatting>
  <conditionalFormatting sqref="J71:J95">
    <cfRule type="dataBar" priority="7">
      <dataBar showValue="1">
        <cfvo type="num" val="0"/>
        <cfvo type="max"/>
        <color rgb="001F3864"/>
      </dataBar>
    </cfRule>
  </conditionalFormatting>
  <dataValidations count="25">
    <dataValidation sqref="C5" showDropDown="0" showInputMessage="0" showErrorMessage="0" allowBlank="0" type="list">
      <formula1>=_z3dy4z</formula1>
    </dataValidation>
    <dataValidation sqref="C7" showDropDown="0" showInputMessage="0" showErrorMessage="0" allowBlank="0" type="list">
      <formula1>=_z7qs7z</formula1>
    </dataValidation>
    <dataValidation sqref="C11" showDropDown="0" showInputMessage="0" showErrorMessage="1" allowBlank="1" errorTitle="超出可填范围" error="光伏单位造价可填范围为0~10 元/W，请核实后重新填写。" type="decimal" operator="between">
      <formula1>0</formula1>
      <formula2>10</formula2>
    </dataValidation>
    <dataValidation sqref="C12" showDropDown="0" showInputMessage="0" showErrorMessage="1" allowBlank="1" errorTitle="超出可填范围" error="风电单位造价可填范围为0~10 元/W，请核实后重新填写。" type="decimal" operator="between">
      <formula1>0</formula1>
      <formula2>10</formula2>
    </dataValidation>
    <dataValidation sqref="C13" showDropDown="0" showInputMessage="0" showErrorMessage="1" allowBlank="1" errorTitle="超出可填范围" error="储能单位造价可填范围为0~5 元/Wh，请核实后重新填写。" type="decimal" operator="between">
      <formula1>0</formula1>
      <formula2>5</formula2>
    </dataValidation>
    <dataValidation sqref="C14" showDropDown="0" showInputMessage="0" showErrorMessage="1" allowBlank="1" errorTitle="超出可填范围" error="柴发单位造价可填范围为0~3 元/W，请核实后重新填写。" type="decimal" operator="between">
      <formula1>0</formula1>
      <formula2>3</formula2>
    </dataValidation>
    <dataValidation sqref="C15" showDropDown="0" showInputMessage="0" showErrorMessage="1" allowBlank="1" errorTitle="超出可填范围" error="充电桩投资可填范围为0~100,000 万元，请核实后重新填写。" type="decimal" operator="between">
      <formula1>0</formula1>
      <formula2>100000</formula2>
    </dataValidation>
    <dataValidation sqref="C16" showDropDown="0" showInputMessage="0" showErrorMessage="1" allowBlank="1" errorTitle="超出可填范围" error="配电工程等其他投资可填范围为0~100,000 万元，请核实后重新填写。" type="decimal" operator="between">
      <formula1>0</formula1>
      <formula2>100000</formula2>
    </dataValidation>
    <dataValidation sqref="C17" showDropDown="0" showInputMessage="0" showErrorMessage="1" allowBlank="1" errorTitle="超出可填范围" error="其他电源投资可填范围为0~100,000 万元，请核实后重新填写。" type="decimal" operator="between">
      <formula1>0</formula1>
      <formula2>100000</formula2>
    </dataValidation>
    <dataValidation sqref="C20" showDropDown="0" showInputMessage="0" showErrorMessage="1" allowBlank="1" errorTitle="超出可填范围" error="年出力衰减率可填范围为0%~10%，请核实后重新填写。" type="decimal" operator="between">
      <formula1>0</formula1>
      <formula2>0.1</formula2>
    </dataValidation>
    <dataValidation sqref="C21" showDropDown="0" showInputMessage="0" showErrorMessage="1" allowBlank="1" errorTitle="超出可填范围" error="储能更换年份须为0~60的整数；填0或大于运营期表示不发生更换。" type="whole" operator="between">
      <formula1>0</formula1>
      <formula2>60</formula2>
    </dataValidation>
    <dataValidation sqref="C22" showDropDown="0" showInputMessage="0" showErrorMessage="1" allowBlank="1" errorTitle="超出可填范围" error="更换费用比例可填范围为0%~100%，请核实后重新填写。" type="decimal" operator="between">
      <formula1>0</formula1>
      <formula2>1</formula2>
    </dataValidation>
    <dataValidation sqref="C23" showDropDown="0" showInputMessage="0" showErrorMessage="1" allowBlank="1" errorTitle="超出可填范围" error="运维费率可填范围为0%~10%，请核实后重新填写。" type="decimal" operator="between">
      <formula1>0</formula1>
      <formula2>0.1</formula2>
    </dataValidation>
    <dataValidation sqref="C24" showDropDown="0" showInputMessage="0" showErrorMessage="1" allowBlank="1" errorTitle="超出可填范围" error="保险费率可填范围为0%~5%，请核实后重新填写。" type="decimal" operator="between">
      <formula1>0</formula1>
      <formula2>0.05</formula2>
    </dataValidation>
    <dataValidation sqref="C25" showDropDown="0" showInputMessage="0" showErrorMessage="1" allowBlank="1" errorTitle="超出可填范围" error="土地/场地租金（不含税）可填范围为0~100,000 万元/年，请核实后重新填写。" type="decimal" operator="between">
      <formula1>0</formula1>
      <formula2>100000</formula2>
    </dataValidation>
    <dataValidation sqref="C28" showDropDown="0" showInputMessage="0" showErrorMessage="1" allowBlank="1" errorTitle="超出可填范围" error="资本金比例应大于零且不超过100%。" type="decimal" operator="between">
      <formula1>0.0001</formula1>
      <formula2>1</formula2>
    </dataValidation>
    <dataValidation sqref="C29" showDropDown="0" showInputMessage="0" showErrorMessage="1" allowBlank="1" errorTitle="超出可填范围" error="贷款利率可填范围为0%~20%，请核实后重新填写。" type="decimal" operator="between">
      <formula1>0</formula1>
      <formula2>0.2</formula2>
    </dataValidation>
    <dataValidation sqref="C30" showDropDown="0" showInputMessage="0" showErrorMessage="1" allowBlank="1" errorTitle="超出可填范围" error="贷款年限须为1~60的整数。" type="whole" operator="between">
      <formula1>1</formula1>
      <formula2>60</formula2>
    </dataValidation>
    <dataValidation sqref="C31" showDropDown="0" showInputMessage="0" showErrorMessage="1" allowBlank="1" errorTitle="超出可填范围" error="运营期须为1~25的整数；本工作簿现金流表最长支持25年，更长评价期请用介子九维小程序在线测算。" type="whole" operator="between">
      <formula1>1</formula1>
      <formula2>25</formula2>
    </dataValidation>
    <dataValidation sqref="C32" showDropDown="0" showInputMessage="0" showErrorMessage="1" allowBlank="1" errorTitle="超出可填范围" error="折旧年限须为1~60的整数。" type="whole" operator="between">
      <formula1>1</formula1>
      <formula2>60</formula2>
    </dataValidation>
    <dataValidation sqref="C33" showDropDown="0" showInputMessage="0" showErrorMessage="1" allowBlank="1" errorTitle="超出可填范围" error="残值率可填范围为0%~20%，请核实后重新填写。" type="decimal" operator="between">
      <formula1>0</formula1>
      <formula2>0.2</formula2>
    </dataValidation>
    <dataValidation sqref="C34" showDropDown="0" showInputMessage="0" showErrorMessage="1" allowBlank="1" errorTitle="超出可填范围" error="所得税率可填范围为0%~35%，请核实后重新填写。" type="decimal" operator="between">
      <formula1>0</formula1>
      <formula2>0.35</formula2>
    </dataValidation>
    <dataValidation sqref="C35" showDropDown="0" showInputMessage="0" showErrorMessage="0" allowBlank="0" type="list">
      <formula1>"是,否"</formula1>
    </dataValidation>
    <dataValidation sqref="C36" showDropDown="0" showInputMessage="0" showErrorMessage="1" allowBlank="1" errorTitle="超出可填范围" error="可抵扣进项税比例应不为负且不超过13/113（约11.5%）。" type="decimal" operator="between">
      <formula1>0</formula1>
      <formula2>0.11504424778761063</formula2>
    </dataValidation>
    <dataValidation sqref="C37" showDropDown="0" showInputMessage="0" showErrorMessage="1" allowBlank="1" errorTitle="超出可填范围" error="基准折现率可填范围为0%~20%，请核实后重新填写。" type="decimal" operator="between">
      <formula1>0</formula1>
      <formula2>0.2</formula2>
    </dataValidation>
  </dataValidations>
  <pageMargins left="0.75" right="0.75" top="1" bottom="1" header="0.5" footer="0.5"/>
  <headerFooter>
    <oddHeader/>
    <oddFooter>&amp;L智能微电网经济评价 v3.3&amp;R介子九维 JIEZIJIUWEI · 版权所有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10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标量（引擎口径 2026-07；勿改）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</row>
    <row r="2">
      <c r="A2" s="5" t="inlineStr">
        <is>
          <t>电价场景序号</t>
        </is>
      </c>
      <c r="B2" s="5">
        <f>MATCH(_zobook,_z3dy4z,0)</f>
        <v/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</row>
    <row r="3">
      <c r="A3" s="5" t="inlineStr">
        <is>
          <t>负荷形态序号</t>
        </is>
      </c>
      <c r="B3" s="5">
        <f>MATCH(_zhoj8r,_z7qs7z,0)</f>
        <v/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</row>
    <row r="4">
      <c r="A4" s="5" t="inlineStr">
        <is>
          <t>组合列号</t>
        </is>
      </c>
      <c r="B4" s="5">
        <f>(_zy5ipr-1)*3+_zflqft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</row>
    <row r="5">
      <c r="A5" s="5" t="inlineStr">
        <is>
          <t>s_gen_avail</t>
        </is>
      </c>
      <c r="B5" s="5">
        <f>INDEX(_zs8gul,_zx9tbe)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</row>
    <row r="6">
      <c r="A6" s="5" t="inlineStr">
        <is>
          <t>s_self_use</t>
        </is>
      </c>
      <c r="B6" s="5">
        <f>INDEX(_z7rtb0,_zx9tbe)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</row>
    <row r="7">
      <c r="A7" s="5" t="inlineStr">
        <is>
          <t>s_export</t>
        </is>
      </c>
      <c r="B7" s="5">
        <f>INDEX(_zx3hze,_zx9tbe)</f>
        <v/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</row>
    <row r="8">
      <c r="A8" s="5" t="inlineStr">
        <is>
          <t>s_purchase</t>
        </is>
      </c>
      <c r="B8" s="5">
        <f>INDEX(_zg5rek,_zx9tbe)</f>
        <v/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</row>
    <row r="9">
      <c r="A9" s="5" t="inlineStr">
        <is>
          <t>s_diesel_q</t>
        </is>
      </c>
      <c r="B9" s="5">
        <f>INDEX(_zvd8oo,_zx9tbe)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</row>
    <row r="10">
      <c r="A10" s="5" t="inlineStr">
        <is>
          <t>s_ess_discharge</t>
        </is>
      </c>
      <c r="B10" s="5">
        <f>INDEX(_z8uul7,_zx9tbe)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</row>
    <row r="11">
      <c r="A11" s="5" t="inlineStr">
        <is>
          <t>s_ess_charge_grid</t>
        </is>
      </c>
      <c r="B11" s="5">
        <f>INDEX(_zmd2n1,_zx9tbe)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</row>
    <row r="12">
      <c r="A12" s="5" t="inlineStr">
        <is>
          <t>s_total_load</t>
        </is>
      </c>
      <c r="B12" s="5">
        <f>INDEX(_zrss8w,_zx9tbe)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</row>
    <row r="13">
      <c r="A13" s="5" t="inlineStr">
        <is>
          <t>s_energy_cost</t>
        </is>
      </c>
      <c r="B13" s="5">
        <f>INDEX(_zxylnr,_zx9tbe)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</row>
    <row r="14">
      <c r="A14" s="5" t="inlineStr">
        <is>
          <t>s_demand_fee</t>
        </is>
      </c>
      <c r="B14" s="5">
        <f>INDEX(_zcmix6,_zx9tbe)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</row>
    <row r="15">
      <c r="A15" s="5" t="inlineStr">
        <is>
          <t>s_td_fee_1192</t>
        </is>
      </c>
      <c r="B15" s="5">
        <f>INDEX(_zc9vmb,_zx9tbe)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</row>
    <row r="16">
      <c r="A16" s="5" t="inlineStr">
        <is>
          <t>s_fund_fee_1192</t>
        </is>
      </c>
      <c r="B16" s="5">
        <f>INDEX(_zmt7yq,_zx9tbe)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</row>
    <row r="17">
      <c r="A17" s="5" t="inlineStr">
        <is>
          <t>s_dg_cost</t>
        </is>
      </c>
      <c r="B17" s="5">
        <f>INDEX(_zgrhmu,_zx9tbe)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</row>
    <row r="18">
      <c r="A18" s="5" t="inlineStr">
        <is>
          <t>s_other_cost</t>
        </is>
      </c>
      <c r="B18" s="5">
        <f>INDEX(_z2124k,_zx9tbe)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</row>
    <row r="19">
      <c r="A19" s="5" t="inlineStr">
        <is>
          <t>s_user_total</t>
        </is>
      </c>
      <c r="B19" s="5">
        <f>INDEX(_zqq9kl,_zx9tbe)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</row>
    <row r="20">
      <c r="A20" s="5" t="inlineStr">
        <is>
          <t>s_user_avg_price</t>
        </is>
      </c>
      <c r="B20" s="5">
        <f>INDEX(_z24fjs,_zx9tbe)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</row>
    <row r="21">
      <c r="A21" s="5" t="inlineStr">
        <is>
          <t>s_baseline</t>
        </is>
      </c>
      <c r="B21" s="5">
        <f>INDEX(_zziz19,_zx9tbe)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</row>
    <row r="22">
      <c r="A22" s="5" t="inlineStr">
        <is>
          <t>s_saving</t>
        </is>
      </c>
      <c r="B22" s="5">
        <f>INDEX(_zg9g0j,_zx9tbe)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</row>
    <row r="23">
      <c r="A23" s="5" t="inlineStr">
        <is>
          <t>s_saving_rate</t>
        </is>
      </c>
      <c r="B23" s="5">
        <f>INDEX(_zpq4om,_zx9tbe)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</row>
    <row r="24">
      <c r="A24" s="5" t="inlineStr">
        <is>
          <t>s_rev_selfuse</t>
        </is>
      </c>
      <c r="B24" s="5">
        <f>INDEX(_zs2zbw,_zx9tbe)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</row>
    <row r="25">
      <c r="A25" s="5" t="inlineStr">
        <is>
          <t>s_rev_arbitrage</t>
        </is>
      </c>
      <c r="B25" s="5">
        <f>INDEX(_zjyrt0,_zx9tbe)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</row>
    <row r="26">
      <c r="A26" s="5" t="inlineStr">
        <is>
          <t>s_rev_demand_saving</t>
        </is>
      </c>
      <c r="B26" s="5">
        <f>INDEX(_zy9h20,_zx9tbe)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</row>
    <row r="27">
      <c r="A27" s="5" t="inlineStr">
        <is>
          <t>s_rev_export</t>
        </is>
      </c>
      <c r="B27" s="5">
        <f>INDEX(_zvhtq5,_zx9tbe)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</row>
    <row r="28">
      <c r="A28" s="5" t="inlineStr">
        <is>
          <t>s_rev_dr</t>
        </is>
      </c>
      <c r="B28" s="5">
        <f>INDEX(_z8a1yw,_zx9tbe)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</row>
    <row r="29">
      <c r="A29" s="5" t="inlineStr">
        <is>
          <t>s_rev_ev</t>
        </is>
      </c>
      <c r="B29" s="5">
        <f>INDEX(_zw9i4c,_zx9tbe)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</row>
    <row r="30">
      <c r="A30" s="5" t="inlineStr">
        <is>
          <t>s_green_avoid</t>
        </is>
      </c>
      <c r="B30" s="5">
        <f>INDEX(_z83gdf,_zx9tbe)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</row>
    <row r="31">
      <c r="A31" s="5" t="inlineStr">
        <is>
          <t>s_ratio_self_of_gen</t>
        </is>
      </c>
      <c r="B31" s="5">
        <f>INDEX(_zrngfq,_zx9tbe)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</row>
    <row r="32">
      <c r="A32" s="5" t="inlineStr">
        <is>
          <t>s_ratio_self_of_load</t>
        </is>
      </c>
      <c r="B32" s="5">
        <f>INDEX(_z34nes,_zx9tbe)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</row>
    <row r="33">
      <c r="A33" s="5" t="inlineStr">
        <is>
          <t>s_re_capacity_share</t>
        </is>
      </c>
      <c r="B33" s="5">
        <f>INDEX(_zsyvua,_zx9tbe)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</row>
    <row r="34">
      <c r="A34" s="5" t="inlineStr">
        <is>
          <t>s_pv_mw</t>
        </is>
      </c>
      <c r="B34" s="5">
        <f>INDEX(_ztu197,_zx9tbe)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</row>
    <row r="35">
      <c r="A35" s="5" t="inlineStr">
        <is>
          <t>s_wind_mw</t>
        </is>
      </c>
      <c r="B35" s="5">
        <f>INDEX(_zdz3nh,_zx9tbe)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</row>
    <row r="36">
      <c r="A36" s="5" t="inlineStr">
        <is>
          <t>s_ess_mw</t>
        </is>
      </c>
      <c r="B36" s="5">
        <f>INDEX(_z59qak,_zx9tbe)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</row>
    <row r="37">
      <c r="A37" s="5" t="inlineStr">
        <is>
          <t>s_ess_mwh</t>
        </is>
      </c>
      <c r="B37" s="5">
        <f>INDEX(_z7g7nz,_zx9tbe)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</row>
    <row r="38">
      <c r="A38" s="5" t="inlineStr">
        <is>
          <t>s_dg_mw</t>
        </is>
      </c>
      <c r="B38" s="5">
        <f>INDEX(_zuo7z3,_zx9tbe)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</row>
    <row r="39">
      <c r="A39" s="5" t="inlineStr">
        <is>
          <t>capex_pv</t>
        </is>
      </c>
      <c r="B39" s="5">
        <f>_z35787*_zqeqjw*100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</row>
    <row r="40">
      <c r="A40" s="5" t="inlineStr">
        <is>
          <t>capex_wind</t>
        </is>
      </c>
      <c r="B40" s="5">
        <f>_zm0jdo*_zzg0id*100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</row>
    <row r="41">
      <c r="A41" s="5" t="inlineStr">
        <is>
          <t>capex_ess</t>
        </is>
      </c>
      <c r="B41" s="5">
        <f>_z9ck23*_zv2cfz*100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</row>
    <row r="42">
      <c r="A42" s="5" t="inlineStr">
        <is>
          <t>capex_dg</t>
        </is>
      </c>
      <c r="B42" s="5">
        <f>_zaapf6*_zqixf0*100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</row>
    <row r="43">
      <c r="A43" s="5" t="inlineStr">
        <is>
          <t>capex_total</t>
        </is>
      </c>
      <c r="B43" s="5">
        <f>_zkh06o+_z517d3+_z4p8is+_zka9am+_zh76h3+_zcyms1+_zghrhb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</row>
    <row r="44">
      <c r="A44" s="5" t="inlineStr">
        <is>
          <t>holiday_share</t>
        </is>
      </c>
      <c r="B44" s="5">
        <f>IF(_z1tt59&gt;0,(_zkh06o+_z517d3)/_z1tt59,0)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</row>
    <row r="45">
      <c r="A45" s="5" t="inlineStr">
        <is>
          <t>n_years</t>
        </is>
      </c>
      <c r="B45" s="5">
        <f>ROUND(_z9rhi7,0)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</row>
    <row r="46">
      <c r="A46" s="5" t="inlineStr">
        <is>
          <t>equity</t>
        </is>
      </c>
      <c r="B46" s="5">
        <f>_z1tt59*_zzd9na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</row>
    <row r="47">
      <c r="A47" s="5" t="inlineStr">
        <is>
          <t>loan</t>
        </is>
      </c>
      <c r="B47" s="5">
        <f>_z1tt59-_zn0hoh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</row>
    <row r="48">
      <c r="A48" s="5" t="inlineStr">
        <is>
          <t>loan_years_r</t>
        </is>
      </c>
      <c r="B48" s="5">
        <f>ROUND(_zx0gw6,0)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</row>
    <row r="49">
      <c r="A49" s="5" t="inlineStr">
        <is>
          <t>pay</t>
        </is>
      </c>
      <c r="B49" s="5">
        <f>IF(_zks9j8=0,_zmqr32/_z2al7i,_zmqr32*_zks9j8/(1-(1+_zks9j8)^-_z2al7i))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</row>
    <row r="50">
      <c r="A50" s="5" t="inlineStr">
        <is>
          <t>capex_net</t>
        </is>
      </c>
      <c r="B50" s="5">
        <f>_z1tt59*(1-_z2vg7y)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</row>
    <row r="51">
      <c r="A51" s="5" t="inlineStr">
        <is>
          <t>vat_pool0</t>
        </is>
      </c>
      <c r="B51" s="5">
        <f>_z1tt59*_z2vg7y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</row>
    <row r="52">
      <c r="A52" s="5" t="inlineStr">
        <is>
          <t>dep_base</t>
        </is>
      </c>
      <c r="B52" s="5">
        <f>_zbb0h1*(1-_z1sub1)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</row>
    <row r="53">
      <c r="A53" s="5" t="inlineStr">
        <is>
          <t>dep_years_tax</t>
        </is>
      </c>
      <c r="B53" s="5">
        <f>ROUND(_zva2xn,0)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</row>
    <row r="54">
      <c r="A54" s="5" t="inlineStr">
        <is>
          <t>dep_years_eff</t>
        </is>
      </c>
      <c r="B54" s="5">
        <f>MIN(_zk7d33,_zx5hja)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</row>
    <row r="55">
      <c r="A55" s="5" t="inlineStr">
        <is>
          <t>dep_annual</t>
        </is>
      </c>
      <c r="B55" s="5">
        <f>_zxo0o2/_zk7d33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</row>
    <row r="56">
      <c r="A56" s="5" t="inlineStr">
        <is>
          <t>opex</t>
        </is>
      </c>
      <c r="B56" s="5">
        <f>_z1tt59*(_zfbc18+_zlghw4)+_zofnoh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</row>
    <row r="57">
      <c r="A57" s="5" t="inlineStr">
        <is>
          <t>salvage_value</t>
        </is>
      </c>
      <c r="B57" s="5">
        <f>_zbb0h1*_z1sub1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</row>
    <row r="58">
      <c r="A58" s="5" t="inlineStr">
        <is>
          <t>terminal_value</t>
        </is>
      </c>
      <c r="B58" s="5">
        <f>_z4gfqk+_zxo0o2*MAX(0,_zk7d33-_zx5hja)/_zk7d33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</row>
    <row r="59">
      <c r="A59" s="5" t="inlineStr">
        <is>
          <t>replace_year_r</t>
        </is>
      </c>
      <c r="B59" s="5">
        <f>ROUND(_z75lzf,0)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</row>
    <row r="60">
      <c r="A60" s="5" t="inlineStr">
        <is>
          <t>benefit_flat</t>
        </is>
      </c>
      <c r="B60" s="5">
        <f>_zriby8+_zbpwff+_ziv1gc+_zz1w2z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</row>
    <row r="63">
      <c r="A63" s="5" t="inlineStr">
        <is>
          <t>年份</t>
        </is>
      </c>
      <c r="B63" s="5" t="inlineStr">
        <is>
          <t>运营期内</t>
        </is>
      </c>
      <c r="C63" s="5" t="inlineStr">
        <is>
          <t>衰减系数</t>
        </is>
      </c>
      <c r="D63" s="5" t="inlineStr">
        <is>
          <t>衰减性收益</t>
        </is>
      </c>
      <c r="E63" s="5" t="inlineStr">
        <is>
          <t>毛收益</t>
        </is>
      </c>
      <c r="F63" s="5" t="inlineStr">
        <is>
          <t>更换支出</t>
        </is>
      </c>
      <c r="G63" s="5" t="inlineStr">
        <is>
          <t>更换进项税</t>
        </is>
      </c>
      <c r="H63" s="5" t="inlineStr">
        <is>
          <t>更换支出(不含税)</t>
        </is>
      </c>
      <c r="I63" s="5" t="inlineStr">
        <is>
          <t>应税收入含税</t>
        </is>
      </c>
      <c r="J63" s="5" t="inlineStr">
        <is>
          <t>应税收入不含税</t>
        </is>
      </c>
      <c r="K63" s="5" t="inlineStr">
        <is>
          <t>销项税</t>
        </is>
      </c>
      <c r="L63" s="5" t="inlineStr">
        <is>
          <t>进项池期初</t>
        </is>
      </c>
      <c r="M63" s="5" t="inlineStr">
        <is>
          <t>实缴增值税</t>
        </is>
      </c>
      <c r="N63" s="5" t="inlineStr">
        <is>
          <t>进项池期末</t>
        </is>
      </c>
      <c r="O63" s="5" t="inlineStr">
        <is>
          <t>附加税费</t>
        </is>
      </c>
      <c r="P63" s="5" t="inlineStr">
        <is>
          <t>净收益不含税口径</t>
        </is>
      </c>
      <c r="Q63" s="5" t="inlineStr">
        <is>
          <t>期初贷款余额</t>
        </is>
      </c>
      <c r="R63" s="5" t="inlineStr">
        <is>
          <t>利息</t>
        </is>
      </c>
      <c r="S63" s="5" t="inlineStr">
        <is>
          <t>还本付息</t>
        </is>
      </c>
      <c r="T63" s="5" t="inlineStr">
        <is>
          <t>还本</t>
        </is>
      </c>
      <c r="U63" s="5" t="inlineStr">
        <is>
          <t>期末贷款余额</t>
        </is>
      </c>
      <c r="V63" s="5" t="inlineStr">
        <is>
          <t>折旧</t>
        </is>
      </c>
      <c r="W63" s="5" t="inlineStr">
        <is>
          <t>免减系数</t>
        </is>
      </c>
      <c r="X63" s="5" t="inlineStr">
        <is>
          <t>有效税率系数</t>
        </is>
      </c>
      <c r="Y63" s="5" t="inlineStr">
        <is>
          <t>EBT全投资</t>
        </is>
      </c>
      <c r="Z63" s="5" t="inlineStr">
        <is>
          <t>亏损池A·1年</t>
        </is>
      </c>
      <c r="AA63" s="5" t="inlineStr">
        <is>
          <t>亏损池A·2年</t>
        </is>
      </c>
      <c r="AB63" s="5" t="inlineStr">
        <is>
          <t>亏损池A·3年</t>
        </is>
      </c>
      <c r="AC63" s="5" t="inlineStr">
        <is>
          <t>亏损池A·4年</t>
        </is>
      </c>
      <c r="AD63" s="5" t="inlineStr">
        <is>
          <t>亏损池A·5年</t>
        </is>
      </c>
      <c r="AE63" s="5" t="inlineStr">
        <is>
          <t>亏损池A·当年弥补</t>
        </is>
      </c>
      <c r="AF63" s="5" t="inlineStr">
        <is>
          <t>应税所得·全投资</t>
        </is>
      </c>
      <c r="AG63" s="5" t="inlineStr">
        <is>
          <t>所得税·全投资</t>
        </is>
      </c>
      <c r="AH63" s="5" t="inlineStr">
        <is>
          <t>EBT资本金</t>
        </is>
      </c>
      <c r="AI63" s="5" t="inlineStr">
        <is>
          <t>亏损池E·1年</t>
        </is>
      </c>
      <c r="AJ63" s="5" t="inlineStr">
        <is>
          <t>亏损池E·2年</t>
        </is>
      </c>
      <c r="AK63" s="5" t="inlineStr">
        <is>
          <t>亏损池E·3年</t>
        </is>
      </c>
      <c r="AL63" s="5" t="inlineStr">
        <is>
          <t>亏损池E·4年</t>
        </is>
      </c>
      <c r="AM63" s="5" t="inlineStr">
        <is>
          <t>亏损池E·5年</t>
        </is>
      </c>
      <c r="AN63" s="5" t="inlineStr">
        <is>
          <t>亏损池E·当年弥补</t>
        </is>
      </c>
      <c r="AO63" s="5" t="inlineStr">
        <is>
          <t>应税所得·资本金</t>
        </is>
      </c>
      <c r="AP63" s="5" t="inlineStr">
        <is>
          <t>所得税·资本金</t>
        </is>
      </c>
      <c r="AQ63" s="5" t="inlineStr">
        <is>
          <t>期末回收</t>
        </is>
      </c>
      <c r="AR63" s="5" t="inlineStr">
        <is>
          <t>税前全投资净现金流</t>
        </is>
      </c>
      <c r="AS63" s="5" t="inlineStr">
        <is>
          <t>税后全投资净现金流</t>
        </is>
      </c>
      <c r="AT63" s="5" t="inlineStr">
        <is>
          <t>资本金净现金流</t>
        </is>
      </c>
      <c r="AU63" s="5" t="inlineStr">
        <is>
          <t>累计税后</t>
        </is>
      </c>
      <c r="AV63" s="5" t="inlineStr">
        <is>
          <t>转正标志</t>
        </is>
      </c>
      <c r="AW63" s="5" t="inlineStr">
        <is>
          <t>折现税后</t>
        </is>
      </c>
      <c r="AX63" s="5" t="inlineStr">
        <is>
          <t>累计折现</t>
        </is>
      </c>
      <c r="AY63" s="5" t="inlineStr">
        <is>
          <t>转正标志动态</t>
        </is>
      </c>
      <c r="AZ63" s="5" t="inlineStr">
        <is>
          <t>自产电量衰减后</t>
        </is>
      </c>
      <c r="BA63" s="5" t="inlineStr">
        <is>
          <t>LCOE年成本</t>
        </is>
      </c>
      <c r="BB63" s="5" t="inlineStr">
        <is>
          <t>符号跟踪·税前</t>
        </is>
      </c>
      <c r="BC63" s="5" t="inlineStr">
        <is>
          <t>变号计数·税前</t>
        </is>
      </c>
      <c r="BD63" s="5" t="inlineStr">
        <is>
          <t>符号跟踪·税后</t>
        </is>
      </c>
      <c r="BE63" s="5" t="inlineStr">
        <is>
          <t>变号计数·税后</t>
        </is>
      </c>
      <c r="BF63" s="5" t="inlineStr">
        <is>
          <t>符号跟踪·资本金</t>
        </is>
      </c>
      <c r="BG63" s="5" t="inlineStr">
        <is>
          <t>变号计数·资本金</t>
        </is>
      </c>
    </row>
    <row r="64">
      <c r="A64" s="5" t="n">
        <v>0</v>
      </c>
      <c r="B64" s="5">
        <f>FALSE</f>
        <v/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>
        <f>_zh2s1v</f>
        <v/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>
        <f>_zmqr32</f>
        <v/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>
        <f>-_z1tt59</f>
        <v/>
      </c>
      <c r="AS64" s="5">
        <f>-_z1tt59</f>
        <v/>
      </c>
      <c r="AT64" s="5">
        <f>-_zn0hoh</f>
        <v/>
      </c>
      <c r="AU64" s="5">
        <f>AS64</f>
        <v/>
      </c>
      <c r="AV64" s="5" t="n">
        <v>0</v>
      </c>
      <c r="AW64" s="5">
        <f>AS64</f>
        <v/>
      </c>
      <c r="AX64" s="5">
        <f>AW64</f>
        <v/>
      </c>
      <c r="AY64" s="5" t="n">
        <v>0</v>
      </c>
      <c r="AZ64" s="5" t="n">
        <v>0</v>
      </c>
      <c r="BA64" s="5" t="n">
        <v>0</v>
      </c>
      <c r="BB64" s="5">
        <f>SIGN(AR64)</f>
        <v/>
      </c>
      <c r="BC64" s="5" t="n">
        <v>0</v>
      </c>
      <c r="BD64" s="5">
        <f>SIGN(AS64)</f>
        <v/>
      </c>
      <c r="BE64" s="5" t="n">
        <v>0</v>
      </c>
      <c r="BF64" s="5">
        <f>SIGN(AT64)</f>
        <v/>
      </c>
      <c r="BG64" s="5" t="n">
        <v>0</v>
      </c>
    </row>
    <row r="65">
      <c r="A65" s="5" t="n">
        <v>1</v>
      </c>
      <c r="B65" s="5">
        <f>AND(A65&gt;=1,A65&lt;=_zx5hja)</f>
        <v/>
      </c>
      <c r="C65" s="5">
        <f>IF(B65,(1-_zecdlb)^(A65-1),0)</f>
        <v/>
      </c>
      <c r="D65" s="5">
        <f>(_zgk3lw+_z7m6d8)*C65</f>
        <v/>
      </c>
      <c r="E65" s="5">
        <f>IF(B65,D65+_zmztd5-_zdd3mz-_z2y4dt,0)</f>
        <v/>
      </c>
      <c r="F65" s="5">
        <f>IF(AND(B65,A65=_ztfkfy),_z4p8is*_zh30bl,0)</f>
        <v/>
      </c>
      <c r="G65" s="5">
        <f>F65*0.13/(1+0.13)</f>
        <v/>
      </c>
      <c r="H65" s="5">
        <f>F65-G65</f>
        <v/>
      </c>
      <c r="I65" s="5">
        <f>IF(B65,_z7m6d8*C65+_zz1w2z,0)</f>
        <v/>
      </c>
      <c r="J65" s="5">
        <f>I65/(1+0.13)</f>
        <v/>
      </c>
      <c r="K65" s="5">
        <f>I65-J65</f>
        <v/>
      </c>
      <c r="L65" s="5">
        <f>N64+G65</f>
        <v/>
      </c>
      <c r="M65" s="5">
        <f>MAX(0,K65-L65)</f>
        <v/>
      </c>
      <c r="N65" s="5">
        <f>MAX(0,L65-K65)</f>
        <v/>
      </c>
      <c r="O65" s="5">
        <f>M65*0.12</f>
        <v/>
      </c>
      <c r="P65" s="5">
        <f>E65-K65</f>
        <v/>
      </c>
      <c r="Q65" s="5">
        <f>U64</f>
        <v/>
      </c>
      <c r="R65" s="5">
        <f>IF(AND(B65,A65&lt;=_z2al7i),Q65*_zks9j8,0)</f>
        <v/>
      </c>
      <c r="S65" s="5">
        <f>IF(AND(B65,A65&lt;=_z2al7i),_zgsfrl,0)</f>
        <v/>
      </c>
      <c r="T65" s="5">
        <f>S65-R65</f>
        <v/>
      </c>
      <c r="U65" s="5">
        <f>MAX(0,Q65-T65)</f>
        <v/>
      </c>
      <c r="V65" s="5">
        <f>IF(AND(B65,A65&lt;=_zupe8l),_z0jo6h,0)</f>
        <v/>
      </c>
      <c r="W65" s="5">
        <f>IF((_zlt415="是"),IF(A65&lt;=3,0,IF(A65&lt;=6,0.5,1)),1)</f>
        <v/>
      </c>
      <c r="X65" s="5">
        <f>_zrzkf6*W65+(1-_zrzkf6)</f>
        <v/>
      </c>
      <c r="Y65" s="5">
        <f>IF(B65,P65-_zkfhzg-O65-V65-H65,0)</f>
        <v/>
      </c>
      <c r="Z65" s="5">
        <f>MAX(0,-Y64)</f>
        <v/>
      </c>
      <c r="AA65" s="5">
        <f>MIN(Z64,MAX(0,(AD64+AC64+AB64+AA64+Z64)-AE64))</f>
        <v/>
      </c>
      <c r="AB65" s="5">
        <f>MIN(AA64,MAX(0,(AD64+AC64+AB64+AA64)-AE64))</f>
        <v/>
      </c>
      <c r="AC65" s="5">
        <f>MIN(AB64,MAX(0,(AD64+AC64+AB64)-AE64))</f>
        <v/>
      </c>
      <c r="AD65" s="5">
        <f>MIN(AC64,MAX(0,(AD64+AC64)-AE64))</f>
        <v/>
      </c>
      <c r="AE65" s="5">
        <f>MIN(MAX(Y65,0),Z65+AA65+AB65+AC65+AD65)</f>
        <v/>
      </c>
      <c r="AF65" s="5">
        <f>MAX(Y65,0)-AE65</f>
        <v/>
      </c>
      <c r="AG65" s="5">
        <f>AF65*_zk03a3*X65</f>
        <v/>
      </c>
      <c r="AH65" s="5">
        <f>IF(B65,Y65-R65,0)</f>
        <v/>
      </c>
      <c r="AI65" s="5">
        <f>MAX(0,-AH64)</f>
        <v/>
      </c>
      <c r="AJ65" s="5">
        <f>MIN(AI64,MAX(0,(AM64+AL64+AK64+AJ64+AI64)-AN64))</f>
        <v/>
      </c>
      <c r="AK65" s="5">
        <f>MIN(AJ64,MAX(0,(AM64+AL64+AK64+AJ64)-AN64))</f>
        <v/>
      </c>
      <c r="AL65" s="5">
        <f>MIN(AK64,MAX(0,(AM64+AL64+AK64)-AN64))</f>
        <v/>
      </c>
      <c r="AM65" s="5">
        <f>MIN(AL64,MAX(0,(AM64+AL64)-AN64))</f>
        <v/>
      </c>
      <c r="AN65" s="5">
        <f>MIN(MAX(AH65,0),AI65+AJ65+AK65+AL65+AM65)</f>
        <v/>
      </c>
      <c r="AO65" s="5">
        <f>MAX(AH65,0)-AN65</f>
        <v/>
      </c>
      <c r="AP65" s="5">
        <f>AO65*_zk03a3*X65</f>
        <v/>
      </c>
      <c r="AQ65" s="5">
        <f>IF(A65=_zx5hja,_zk1wd3,0)</f>
        <v/>
      </c>
      <c r="AR65" s="5">
        <f>IF(B65,E65-_zkfhzg-M65-O65-F65+AQ65,0)</f>
        <v/>
      </c>
      <c r="AS65" s="5">
        <f>AR65-AG65</f>
        <v/>
      </c>
      <c r="AT65" s="5">
        <f>IF(B65,E65-_zkfhzg-M65-O65-F65-S65-AP65+AQ65-IF(AND(A65=_zx5hja,_z2al7i&gt;_zx5hja),U65,0),0)</f>
        <v/>
      </c>
      <c r="AU65" s="5">
        <f>AU64+AS65</f>
        <v/>
      </c>
      <c r="AV65" s="5">
        <f>IF(AND(AU64&lt;0,AU65&gt;=0,AS65&gt;0),1,0)</f>
        <v/>
      </c>
      <c r="AW65" s="5">
        <f>AS65/(1+_z1ltt4)^A65</f>
        <v/>
      </c>
      <c r="AX65" s="5">
        <f>AX64+AW65</f>
        <v/>
      </c>
      <c r="AY65" s="5">
        <f>IF(AND(AX64&lt;0,AX65&gt;=0,AW65&gt;0),1,0)</f>
        <v/>
      </c>
      <c r="AZ65" s="5">
        <f>(_z39asj+_zy2ig8)*C65</f>
        <v/>
      </c>
      <c r="BA65" s="5">
        <f>IF(B65,_zkfhzg+_zdd3mz+_z2y4dt+F65-AQ65,0)</f>
        <v/>
      </c>
      <c r="BB65" s="5">
        <f>IF(AR65=0,BB64,SIGN(AR65))</f>
        <v/>
      </c>
      <c r="BC65" s="5">
        <f>BC64+IF(OR(AR65=0,BB64=0),0,IF(SIGN(AR65)&lt;&gt;BB64,1,0))</f>
        <v/>
      </c>
      <c r="BD65" s="5">
        <f>IF(AS65=0,BD64,SIGN(AS65))</f>
        <v/>
      </c>
      <c r="BE65" s="5">
        <f>BE64+IF(OR(AS65=0,BD64=0),0,IF(SIGN(AS65)&lt;&gt;BD64,1,0))</f>
        <v/>
      </c>
      <c r="BF65" s="5">
        <f>IF(AT65=0,BF64,SIGN(AT65))</f>
        <v/>
      </c>
      <c r="BG65" s="5">
        <f>BG64+IF(OR(AT65=0,BF64=0),0,IF(SIGN(AT65)&lt;&gt;BF64,1,0))</f>
        <v/>
      </c>
    </row>
    <row r="66">
      <c r="A66" s="5" t="n">
        <v>2</v>
      </c>
      <c r="B66" s="5">
        <f>AND(A66&gt;=1,A66&lt;=_zx5hja)</f>
        <v/>
      </c>
      <c r="C66" s="5">
        <f>IF(B66,(1-_zecdlb)^(A66-1),0)</f>
        <v/>
      </c>
      <c r="D66" s="5">
        <f>(_zgk3lw+_z7m6d8)*C66</f>
        <v/>
      </c>
      <c r="E66" s="5">
        <f>IF(B66,D66+_zmztd5-_zdd3mz-_z2y4dt,0)</f>
        <v/>
      </c>
      <c r="F66" s="5">
        <f>IF(AND(B66,A66=_ztfkfy),_z4p8is*_zh30bl,0)</f>
        <v/>
      </c>
      <c r="G66" s="5">
        <f>F66*0.13/(1+0.13)</f>
        <v/>
      </c>
      <c r="H66" s="5">
        <f>F66-G66</f>
        <v/>
      </c>
      <c r="I66" s="5">
        <f>IF(B66,_z7m6d8*C66+_zz1w2z,0)</f>
        <v/>
      </c>
      <c r="J66" s="5">
        <f>I66/(1+0.13)</f>
        <v/>
      </c>
      <c r="K66" s="5">
        <f>I66-J66</f>
        <v/>
      </c>
      <c r="L66" s="5">
        <f>N65+G66</f>
        <v/>
      </c>
      <c r="M66" s="5">
        <f>MAX(0,K66-L66)</f>
        <v/>
      </c>
      <c r="N66" s="5">
        <f>MAX(0,L66-K66)</f>
        <v/>
      </c>
      <c r="O66" s="5">
        <f>M66*0.12</f>
        <v/>
      </c>
      <c r="P66" s="5">
        <f>E66-K66</f>
        <v/>
      </c>
      <c r="Q66" s="5">
        <f>U65</f>
        <v/>
      </c>
      <c r="R66" s="5">
        <f>IF(AND(B66,A66&lt;=_z2al7i),Q66*_zks9j8,0)</f>
        <v/>
      </c>
      <c r="S66" s="5">
        <f>IF(AND(B66,A66&lt;=_z2al7i),_zgsfrl,0)</f>
        <v/>
      </c>
      <c r="T66" s="5">
        <f>S66-R66</f>
        <v/>
      </c>
      <c r="U66" s="5">
        <f>MAX(0,Q66-T66)</f>
        <v/>
      </c>
      <c r="V66" s="5">
        <f>IF(AND(B66,A66&lt;=_zupe8l),_z0jo6h,0)</f>
        <v/>
      </c>
      <c r="W66" s="5">
        <f>IF((_zlt415="是"),IF(A66&lt;=3,0,IF(A66&lt;=6,0.5,1)),1)</f>
        <v/>
      </c>
      <c r="X66" s="5">
        <f>_zrzkf6*W66+(1-_zrzkf6)</f>
        <v/>
      </c>
      <c r="Y66" s="5">
        <f>IF(B66,P66-_zkfhzg-O66-V66-H66,0)</f>
        <v/>
      </c>
      <c r="Z66" s="5">
        <f>MAX(0,-Y65)</f>
        <v/>
      </c>
      <c r="AA66" s="5">
        <f>MIN(Z65,MAX(0,(AD65+AC65+AB65+AA65+Z65)-AE65))</f>
        <v/>
      </c>
      <c r="AB66" s="5">
        <f>MIN(AA65,MAX(0,(AD65+AC65+AB65+AA65)-AE65))</f>
        <v/>
      </c>
      <c r="AC66" s="5">
        <f>MIN(AB65,MAX(0,(AD65+AC65+AB65)-AE65))</f>
        <v/>
      </c>
      <c r="AD66" s="5">
        <f>MIN(AC65,MAX(0,(AD65+AC65)-AE65))</f>
        <v/>
      </c>
      <c r="AE66" s="5">
        <f>MIN(MAX(Y66,0),Z66+AA66+AB66+AC66+AD66)</f>
        <v/>
      </c>
      <c r="AF66" s="5">
        <f>MAX(Y66,0)-AE66</f>
        <v/>
      </c>
      <c r="AG66" s="5">
        <f>AF66*_zk03a3*X66</f>
        <v/>
      </c>
      <c r="AH66" s="5">
        <f>IF(B66,Y66-R66,0)</f>
        <v/>
      </c>
      <c r="AI66" s="5">
        <f>MAX(0,-AH65)</f>
        <v/>
      </c>
      <c r="AJ66" s="5">
        <f>MIN(AI65,MAX(0,(AM65+AL65+AK65+AJ65+AI65)-AN65))</f>
        <v/>
      </c>
      <c r="AK66" s="5">
        <f>MIN(AJ65,MAX(0,(AM65+AL65+AK65+AJ65)-AN65))</f>
        <v/>
      </c>
      <c r="AL66" s="5">
        <f>MIN(AK65,MAX(0,(AM65+AL65+AK65)-AN65))</f>
        <v/>
      </c>
      <c r="AM66" s="5">
        <f>MIN(AL65,MAX(0,(AM65+AL65)-AN65))</f>
        <v/>
      </c>
      <c r="AN66" s="5">
        <f>MIN(MAX(AH66,0),AI66+AJ66+AK66+AL66+AM66)</f>
        <v/>
      </c>
      <c r="AO66" s="5">
        <f>MAX(AH66,0)-AN66</f>
        <v/>
      </c>
      <c r="AP66" s="5">
        <f>AO66*_zk03a3*X66</f>
        <v/>
      </c>
      <c r="AQ66" s="5">
        <f>IF(A66=_zx5hja,_zk1wd3,0)</f>
        <v/>
      </c>
      <c r="AR66" s="5">
        <f>IF(B66,E66-_zkfhzg-M66-O66-F66+AQ66,0)</f>
        <v/>
      </c>
      <c r="AS66" s="5">
        <f>AR66-AG66</f>
        <v/>
      </c>
      <c r="AT66" s="5">
        <f>IF(B66,E66-_zkfhzg-M66-O66-F66-S66-AP66+AQ66-IF(AND(A66=_zx5hja,_z2al7i&gt;_zx5hja),U66,0),0)</f>
        <v/>
      </c>
      <c r="AU66" s="5">
        <f>AU65+AS66</f>
        <v/>
      </c>
      <c r="AV66" s="5">
        <f>IF(AND(AU65&lt;0,AU66&gt;=0,AS66&gt;0),1,0)</f>
        <v/>
      </c>
      <c r="AW66" s="5">
        <f>AS66/(1+_z1ltt4)^A66</f>
        <v/>
      </c>
      <c r="AX66" s="5">
        <f>AX65+AW66</f>
        <v/>
      </c>
      <c r="AY66" s="5">
        <f>IF(AND(AX65&lt;0,AX66&gt;=0,AW66&gt;0),1,0)</f>
        <v/>
      </c>
      <c r="AZ66" s="5">
        <f>(_z39asj+_zy2ig8)*C66</f>
        <v/>
      </c>
      <c r="BA66" s="5">
        <f>IF(B66,_zkfhzg+_zdd3mz+_z2y4dt+F66-AQ66,0)</f>
        <v/>
      </c>
      <c r="BB66" s="5">
        <f>IF(AR66=0,BB65,SIGN(AR66))</f>
        <v/>
      </c>
      <c r="BC66" s="5">
        <f>BC65+IF(OR(AR66=0,BB65=0),0,IF(SIGN(AR66)&lt;&gt;BB65,1,0))</f>
        <v/>
      </c>
      <c r="BD66" s="5">
        <f>IF(AS66=0,BD65,SIGN(AS66))</f>
        <v/>
      </c>
      <c r="BE66" s="5">
        <f>BE65+IF(OR(AS66=0,BD65=0),0,IF(SIGN(AS66)&lt;&gt;BD65,1,0))</f>
        <v/>
      </c>
      <c r="BF66" s="5">
        <f>IF(AT66=0,BF65,SIGN(AT66))</f>
        <v/>
      </c>
      <c r="BG66" s="5">
        <f>BG65+IF(OR(AT66=0,BF65=0),0,IF(SIGN(AT66)&lt;&gt;BF65,1,0))</f>
        <v/>
      </c>
    </row>
    <row r="67">
      <c r="A67" s="5" t="n">
        <v>3</v>
      </c>
      <c r="B67" s="5">
        <f>AND(A67&gt;=1,A67&lt;=_zx5hja)</f>
        <v/>
      </c>
      <c r="C67" s="5">
        <f>IF(B67,(1-_zecdlb)^(A67-1),0)</f>
        <v/>
      </c>
      <c r="D67" s="5">
        <f>(_zgk3lw+_z7m6d8)*C67</f>
        <v/>
      </c>
      <c r="E67" s="5">
        <f>IF(B67,D67+_zmztd5-_zdd3mz-_z2y4dt,0)</f>
        <v/>
      </c>
      <c r="F67" s="5">
        <f>IF(AND(B67,A67=_ztfkfy),_z4p8is*_zh30bl,0)</f>
        <v/>
      </c>
      <c r="G67" s="5">
        <f>F67*0.13/(1+0.13)</f>
        <v/>
      </c>
      <c r="H67" s="5">
        <f>F67-G67</f>
        <v/>
      </c>
      <c r="I67" s="5">
        <f>IF(B67,_z7m6d8*C67+_zz1w2z,0)</f>
        <v/>
      </c>
      <c r="J67" s="5">
        <f>I67/(1+0.13)</f>
        <v/>
      </c>
      <c r="K67" s="5">
        <f>I67-J67</f>
        <v/>
      </c>
      <c r="L67" s="5">
        <f>N66+G67</f>
        <v/>
      </c>
      <c r="M67" s="5">
        <f>MAX(0,K67-L67)</f>
        <v/>
      </c>
      <c r="N67" s="5">
        <f>MAX(0,L67-K67)</f>
        <v/>
      </c>
      <c r="O67" s="5">
        <f>M67*0.12</f>
        <v/>
      </c>
      <c r="P67" s="5">
        <f>E67-K67</f>
        <v/>
      </c>
      <c r="Q67" s="5">
        <f>U66</f>
        <v/>
      </c>
      <c r="R67" s="5">
        <f>IF(AND(B67,A67&lt;=_z2al7i),Q67*_zks9j8,0)</f>
        <v/>
      </c>
      <c r="S67" s="5">
        <f>IF(AND(B67,A67&lt;=_z2al7i),_zgsfrl,0)</f>
        <v/>
      </c>
      <c r="T67" s="5">
        <f>S67-R67</f>
        <v/>
      </c>
      <c r="U67" s="5">
        <f>MAX(0,Q67-T67)</f>
        <v/>
      </c>
      <c r="V67" s="5">
        <f>IF(AND(B67,A67&lt;=_zupe8l),_z0jo6h,0)</f>
        <v/>
      </c>
      <c r="W67" s="5">
        <f>IF((_zlt415="是"),IF(A67&lt;=3,0,IF(A67&lt;=6,0.5,1)),1)</f>
        <v/>
      </c>
      <c r="X67" s="5">
        <f>_zrzkf6*W67+(1-_zrzkf6)</f>
        <v/>
      </c>
      <c r="Y67" s="5">
        <f>IF(B67,P67-_zkfhzg-O67-V67-H67,0)</f>
        <v/>
      </c>
      <c r="Z67" s="5">
        <f>MAX(0,-Y66)</f>
        <v/>
      </c>
      <c r="AA67" s="5">
        <f>MIN(Z66,MAX(0,(AD66+AC66+AB66+AA66+Z66)-AE66))</f>
        <v/>
      </c>
      <c r="AB67" s="5">
        <f>MIN(AA66,MAX(0,(AD66+AC66+AB66+AA66)-AE66))</f>
        <v/>
      </c>
      <c r="AC67" s="5">
        <f>MIN(AB66,MAX(0,(AD66+AC66+AB66)-AE66))</f>
        <v/>
      </c>
      <c r="AD67" s="5">
        <f>MIN(AC66,MAX(0,(AD66+AC66)-AE66))</f>
        <v/>
      </c>
      <c r="AE67" s="5">
        <f>MIN(MAX(Y67,0),Z67+AA67+AB67+AC67+AD67)</f>
        <v/>
      </c>
      <c r="AF67" s="5">
        <f>MAX(Y67,0)-AE67</f>
        <v/>
      </c>
      <c r="AG67" s="5">
        <f>AF67*_zk03a3*X67</f>
        <v/>
      </c>
      <c r="AH67" s="5">
        <f>IF(B67,Y67-R67,0)</f>
        <v/>
      </c>
      <c r="AI67" s="5">
        <f>MAX(0,-AH66)</f>
        <v/>
      </c>
      <c r="AJ67" s="5">
        <f>MIN(AI66,MAX(0,(AM66+AL66+AK66+AJ66+AI66)-AN66))</f>
        <v/>
      </c>
      <c r="AK67" s="5">
        <f>MIN(AJ66,MAX(0,(AM66+AL66+AK66+AJ66)-AN66))</f>
        <v/>
      </c>
      <c r="AL67" s="5">
        <f>MIN(AK66,MAX(0,(AM66+AL66+AK66)-AN66))</f>
        <v/>
      </c>
      <c r="AM67" s="5">
        <f>MIN(AL66,MAX(0,(AM66+AL66)-AN66))</f>
        <v/>
      </c>
      <c r="AN67" s="5">
        <f>MIN(MAX(AH67,0),AI67+AJ67+AK67+AL67+AM67)</f>
        <v/>
      </c>
      <c r="AO67" s="5">
        <f>MAX(AH67,0)-AN67</f>
        <v/>
      </c>
      <c r="AP67" s="5">
        <f>AO67*_zk03a3*X67</f>
        <v/>
      </c>
      <c r="AQ67" s="5">
        <f>IF(A67=_zx5hja,_zk1wd3,0)</f>
        <v/>
      </c>
      <c r="AR67" s="5">
        <f>IF(B67,E67-_zkfhzg-M67-O67-F67+AQ67,0)</f>
        <v/>
      </c>
      <c r="AS67" s="5">
        <f>AR67-AG67</f>
        <v/>
      </c>
      <c r="AT67" s="5">
        <f>IF(B67,E67-_zkfhzg-M67-O67-F67-S67-AP67+AQ67-IF(AND(A67=_zx5hja,_z2al7i&gt;_zx5hja),U67,0),0)</f>
        <v/>
      </c>
      <c r="AU67" s="5">
        <f>AU66+AS67</f>
        <v/>
      </c>
      <c r="AV67" s="5">
        <f>IF(AND(AU66&lt;0,AU67&gt;=0,AS67&gt;0),1,0)</f>
        <v/>
      </c>
      <c r="AW67" s="5">
        <f>AS67/(1+_z1ltt4)^A67</f>
        <v/>
      </c>
      <c r="AX67" s="5">
        <f>AX66+AW67</f>
        <v/>
      </c>
      <c r="AY67" s="5">
        <f>IF(AND(AX66&lt;0,AX67&gt;=0,AW67&gt;0),1,0)</f>
        <v/>
      </c>
      <c r="AZ67" s="5">
        <f>(_z39asj+_zy2ig8)*C67</f>
        <v/>
      </c>
      <c r="BA67" s="5">
        <f>IF(B67,_zkfhzg+_zdd3mz+_z2y4dt+F67-AQ67,0)</f>
        <v/>
      </c>
      <c r="BB67" s="5">
        <f>IF(AR67=0,BB66,SIGN(AR67))</f>
        <v/>
      </c>
      <c r="BC67" s="5">
        <f>BC66+IF(OR(AR67=0,BB66=0),0,IF(SIGN(AR67)&lt;&gt;BB66,1,0))</f>
        <v/>
      </c>
      <c r="BD67" s="5">
        <f>IF(AS67=0,BD66,SIGN(AS67))</f>
        <v/>
      </c>
      <c r="BE67" s="5">
        <f>BE66+IF(OR(AS67=0,BD66=0),0,IF(SIGN(AS67)&lt;&gt;BD66,1,0))</f>
        <v/>
      </c>
      <c r="BF67" s="5">
        <f>IF(AT67=0,BF66,SIGN(AT67))</f>
        <v/>
      </c>
      <c r="BG67" s="5">
        <f>BG66+IF(OR(AT67=0,BF66=0),0,IF(SIGN(AT67)&lt;&gt;BF66,1,0))</f>
        <v/>
      </c>
    </row>
    <row r="68">
      <c r="A68" s="5" t="n">
        <v>4</v>
      </c>
      <c r="B68" s="5">
        <f>AND(A68&gt;=1,A68&lt;=_zx5hja)</f>
        <v/>
      </c>
      <c r="C68" s="5">
        <f>IF(B68,(1-_zecdlb)^(A68-1),0)</f>
        <v/>
      </c>
      <c r="D68" s="5">
        <f>(_zgk3lw+_z7m6d8)*C68</f>
        <v/>
      </c>
      <c r="E68" s="5">
        <f>IF(B68,D68+_zmztd5-_zdd3mz-_z2y4dt,0)</f>
        <v/>
      </c>
      <c r="F68" s="5">
        <f>IF(AND(B68,A68=_ztfkfy),_z4p8is*_zh30bl,0)</f>
        <v/>
      </c>
      <c r="G68" s="5">
        <f>F68*0.13/(1+0.13)</f>
        <v/>
      </c>
      <c r="H68" s="5">
        <f>F68-G68</f>
        <v/>
      </c>
      <c r="I68" s="5">
        <f>IF(B68,_z7m6d8*C68+_zz1w2z,0)</f>
        <v/>
      </c>
      <c r="J68" s="5">
        <f>I68/(1+0.13)</f>
        <v/>
      </c>
      <c r="K68" s="5">
        <f>I68-J68</f>
        <v/>
      </c>
      <c r="L68" s="5">
        <f>N67+G68</f>
        <v/>
      </c>
      <c r="M68" s="5">
        <f>MAX(0,K68-L68)</f>
        <v/>
      </c>
      <c r="N68" s="5">
        <f>MAX(0,L68-K68)</f>
        <v/>
      </c>
      <c r="O68" s="5">
        <f>M68*0.12</f>
        <v/>
      </c>
      <c r="P68" s="5">
        <f>E68-K68</f>
        <v/>
      </c>
      <c r="Q68" s="5">
        <f>U67</f>
        <v/>
      </c>
      <c r="R68" s="5">
        <f>IF(AND(B68,A68&lt;=_z2al7i),Q68*_zks9j8,0)</f>
        <v/>
      </c>
      <c r="S68" s="5">
        <f>IF(AND(B68,A68&lt;=_z2al7i),_zgsfrl,0)</f>
        <v/>
      </c>
      <c r="T68" s="5">
        <f>S68-R68</f>
        <v/>
      </c>
      <c r="U68" s="5">
        <f>MAX(0,Q68-T68)</f>
        <v/>
      </c>
      <c r="V68" s="5">
        <f>IF(AND(B68,A68&lt;=_zupe8l),_z0jo6h,0)</f>
        <v/>
      </c>
      <c r="W68" s="5">
        <f>IF((_zlt415="是"),IF(A68&lt;=3,0,IF(A68&lt;=6,0.5,1)),1)</f>
        <v/>
      </c>
      <c r="X68" s="5">
        <f>_zrzkf6*W68+(1-_zrzkf6)</f>
        <v/>
      </c>
      <c r="Y68" s="5">
        <f>IF(B68,P68-_zkfhzg-O68-V68-H68,0)</f>
        <v/>
      </c>
      <c r="Z68" s="5">
        <f>MAX(0,-Y67)</f>
        <v/>
      </c>
      <c r="AA68" s="5">
        <f>MIN(Z67,MAX(0,(AD67+AC67+AB67+AA67+Z67)-AE67))</f>
        <v/>
      </c>
      <c r="AB68" s="5">
        <f>MIN(AA67,MAX(0,(AD67+AC67+AB67+AA67)-AE67))</f>
        <v/>
      </c>
      <c r="AC68" s="5">
        <f>MIN(AB67,MAX(0,(AD67+AC67+AB67)-AE67))</f>
        <v/>
      </c>
      <c r="AD68" s="5">
        <f>MIN(AC67,MAX(0,(AD67+AC67)-AE67))</f>
        <v/>
      </c>
      <c r="AE68" s="5">
        <f>MIN(MAX(Y68,0),Z68+AA68+AB68+AC68+AD68)</f>
        <v/>
      </c>
      <c r="AF68" s="5">
        <f>MAX(Y68,0)-AE68</f>
        <v/>
      </c>
      <c r="AG68" s="5">
        <f>AF68*_zk03a3*X68</f>
        <v/>
      </c>
      <c r="AH68" s="5">
        <f>IF(B68,Y68-R68,0)</f>
        <v/>
      </c>
      <c r="AI68" s="5">
        <f>MAX(0,-AH67)</f>
        <v/>
      </c>
      <c r="AJ68" s="5">
        <f>MIN(AI67,MAX(0,(AM67+AL67+AK67+AJ67+AI67)-AN67))</f>
        <v/>
      </c>
      <c r="AK68" s="5">
        <f>MIN(AJ67,MAX(0,(AM67+AL67+AK67+AJ67)-AN67))</f>
        <v/>
      </c>
      <c r="AL68" s="5">
        <f>MIN(AK67,MAX(0,(AM67+AL67+AK67)-AN67))</f>
        <v/>
      </c>
      <c r="AM68" s="5">
        <f>MIN(AL67,MAX(0,(AM67+AL67)-AN67))</f>
        <v/>
      </c>
      <c r="AN68" s="5">
        <f>MIN(MAX(AH68,0),AI68+AJ68+AK68+AL68+AM68)</f>
        <v/>
      </c>
      <c r="AO68" s="5">
        <f>MAX(AH68,0)-AN68</f>
        <v/>
      </c>
      <c r="AP68" s="5">
        <f>AO68*_zk03a3*X68</f>
        <v/>
      </c>
      <c r="AQ68" s="5">
        <f>IF(A68=_zx5hja,_zk1wd3,0)</f>
        <v/>
      </c>
      <c r="AR68" s="5">
        <f>IF(B68,E68-_zkfhzg-M68-O68-F68+AQ68,0)</f>
        <v/>
      </c>
      <c r="AS68" s="5">
        <f>AR68-AG68</f>
        <v/>
      </c>
      <c r="AT68" s="5">
        <f>IF(B68,E68-_zkfhzg-M68-O68-F68-S68-AP68+AQ68-IF(AND(A68=_zx5hja,_z2al7i&gt;_zx5hja),U68,0),0)</f>
        <v/>
      </c>
      <c r="AU68" s="5">
        <f>AU67+AS68</f>
        <v/>
      </c>
      <c r="AV68" s="5">
        <f>IF(AND(AU67&lt;0,AU68&gt;=0,AS68&gt;0),1,0)</f>
        <v/>
      </c>
      <c r="AW68" s="5">
        <f>AS68/(1+_z1ltt4)^A68</f>
        <v/>
      </c>
      <c r="AX68" s="5">
        <f>AX67+AW68</f>
        <v/>
      </c>
      <c r="AY68" s="5">
        <f>IF(AND(AX67&lt;0,AX68&gt;=0,AW68&gt;0),1,0)</f>
        <v/>
      </c>
      <c r="AZ68" s="5">
        <f>(_z39asj+_zy2ig8)*C68</f>
        <v/>
      </c>
      <c r="BA68" s="5">
        <f>IF(B68,_zkfhzg+_zdd3mz+_z2y4dt+F68-AQ68,0)</f>
        <v/>
      </c>
      <c r="BB68" s="5">
        <f>IF(AR68=0,BB67,SIGN(AR68))</f>
        <v/>
      </c>
      <c r="BC68" s="5">
        <f>BC67+IF(OR(AR68=0,BB67=0),0,IF(SIGN(AR68)&lt;&gt;BB67,1,0))</f>
        <v/>
      </c>
      <c r="BD68" s="5">
        <f>IF(AS68=0,BD67,SIGN(AS68))</f>
        <v/>
      </c>
      <c r="BE68" s="5">
        <f>BE67+IF(OR(AS68=0,BD67=0),0,IF(SIGN(AS68)&lt;&gt;BD67,1,0))</f>
        <v/>
      </c>
      <c r="BF68" s="5">
        <f>IF(AT68=0,BF67,SIGN(AT68))</f>
        <v/>
      </c>
      <c r="BG68" s="5">
        <f>BG67+IF(OR(AT68=0,BF67=0),0,IF(SIGN(AT68)&lt;&gt;BF67,1,0))</f>
        <v/>
      </c>
    </row>
    <row r="69">
      <c r="A69" s="5" t="n">
        <v>5</v>
      </c>
      <c r="B69" s="5">
        <f>AND(A69&gt;=1,A69&lt;=_zx5hja)</f>
        <v/>
      </c>
      <c r="C69" s="5">
        <f>IF(B69,(1-_zecdlb)^(A69-1),0)</f>
        <v/>
      </c>
      <c r="D69" s="5">
        <f>(_zgk3lw+_z7m6d8)*C69</f>
        <v/>
      </c>
      <c r="E69" s="5">
        <f>IF(B69,D69+_zmztd5-_zdd3mz-_z2y4dt,0)</f>
        <v/>
      </c>
      <c r="F69" s="5">
        <f>IF(AND(B69,A69=_ztfkfy),_z4p8is*_zh30bl,0)</f>
        <v/>
      </c>
      <c r="G69" s="5">
        <f>F69*0.13/(1+0.13)</f>
        <v/>
      </c>
      <c r="H69" s="5">
        <f>F69-G69</f>
        <v/>
      </c>
      <c r="I69" s="5">
        <f>IF(B69,_z7m6d8*C69+_zz1w2z,0)</f>
        <v/>
      </c>
      <c r="J69" s="5">
        <f>I69/(1+0.13)</f>
        <v/>
      </c>
      <c r="K69" s="5">
        <f>I69-J69</f>
        <v/>
      </c>
      <c r="L69" s="5">
        <f>N68+G69</f>
        <v/>
      </c>
      <c r="M69" s="5">
        <f>MAX(0,K69-L69)</f>
        <v/>
      </c>
      <c r="N69" s="5">
        <f>MAX(0,L69-K69)</f>
        <v/>
      </c>
      <c r="O69" s="5">
        <f>M69*0.12</f>
        <v/>
      </c>
      <c r="P69" s="5">
        <f>E69-K69</f>
        <v/>
      </c>
      <c r="Q69" s="5">
        <f>U68</f>
        <v/>
      </c>
      <c r="R69" s="5">
        <f>IF(AND(B69,A69&lt;=_z2al7i),Q69*_zks9j8,0)</f>
        <v/>
      </c>
      <c r="S69" s="5">
        <f>IF(AND(B69,A69&lt;=_z2al7i),_zgsfrl,0)</f>
        <v/>
      </c>
      <c r="T69" s="5">
        <f>S69-R69</f>
        <v/>
      </c>
      <c r="U69" s="5">
        <f>MAX(0,Q69-T69)</f>
        <v/>
      </c>
      <c r="V69" s="5">
        <f>IF(AND(B69,A69&lt;=_zupe8l),_z0jo6h,0)</f>
        <v/>
      </c>
      <c r="W69" s="5">
        <f>IF((_zlt415="是"),IF(A69&lt;=3,0,IF(A69&lt;=6,0.5,1)),1)</f>
        <v/>
      </c>
      <c r="X69" s="5">
        <f>_zrzkf6*W69+(1-_zrzkf6)</f>
        <v/>
      </c>
      <c r="Y69" s="5">
        <f>IF(B69,P69-_zkfhzg-O69-V69-H69,0)</f>
        <v/>
      </c>
      <c r="Z69" s="5">
        <f>MAX(0,-Y68)</f>
        <v/>
      </c>
      <c r="AA69" s="5">
        <f>MIN(Z68,MAX(0,(AD68+AC68+AB68+AA68+Z68)-AE68))</f>
        <v/>
      </c>
      <c r="AB69" s="5">
        <f>MIN(AA68,MAX(0,(AD68+AC68+AB68+AA68)-AE68))</f>
        <v/>
      </c>
      <c r="AC69" s="5">
        <f>MIN(AB68,MAX(0,(AD68+AC68+AB68)-AE68))</f>
        <v/>
      </c>
      <c r="AD69" s="5">
        <f>MIN(AC68,MAX(0,(AD68+AC68)-AE68))</f>
        <v/>
      </c>
      <c r="AE69" s="5">
        <f>MIN(MAX(Y69,0),Z69+AA69+AB69+AC69+AD69)</f>
        <v/>
      </c>
      <c r="AF69" s="5">
        <f>MAX(Y69,0)-AE69</f>
        <v/>
      </c>
      <c r="AG69" s="5">
        <f>AF69*_zk03a3*X69</f>
        <v/>
      </c>
      <c r="AH69" s="5">
        <f>IF(B69,Y69-R69,0)</f>
        <v/>
      </c>
      <c r="AI69" s="5">
        <f>MAX(0,-AH68)</f>
        <v/>
      </c>
      <c r="AJ69" s="5">
        <f>MIN(AI68,MAX(0,(AM68+AL68+AK68+AJ68+AI68)-AN68))</f>
        <v/>
      </c>
      <c r="AK69" s="5">
        <f>MIN(AJ68,MAX(0,(AM68+AL68+AK68+AJ68)-AN68))</f>
        <v/>
      </c>
      <c r="AL69" s="5">
        <f>MIN(AK68,MAX(0,(AM68+AL68+AK68)-AN68))</f>
        <v/>
      </c>
      <c r="AM69" s="5">
        <f>MIN(AL68,MAX(0,(AM68+AL68)-AN68))</f>
        <v/>
      </c>
      <c r="AN69" s="5">
        <f>MIN(MAX(AH69,0),AI69+AJ69+AK69+AL69+AM69)</f>
        <v/>
      </c>
      <c r="AO69" s="5">
        <f>MAX(AH69,0)-AN69</f>
        <v/>
      </c>
      <c r="AP69" s="5">
        <f>AO69*_zk03a3*X69</f>
        <v/>
      </c>
      <c r="AQ69" s="5">
        <f>IF(A69=_zx5hja,_zk1wd3,0)</f>
        <v/>
      </c>
      <c r="AR69" s="5">
        <f>IF(B69,E69-_zkfhzg-M69-O69-F69+AQ69,0)</f>
        <v/>
      </c>
      <c r="AS69" s="5">
        <f>AR69-AG69</f>
        <v/>
      </c>
      <c r="AT69" s="5">
        <f>IF(B69,E69-_zkfhzg-M69-O69-F69-S69-AP69+AQ69-IF(AND(A69=_zx5hja,_z2al7i&gt;_zx5hja),U69,0),0)</f>
        <v/>
      </c>
      <c r="AU69" s="5">
        <f>AU68+AS69</f>
        <v/>
      </c>
      <c r="AV69" s="5">
        <f>IF(AND(AU68&lt;0,AU69&gt;=0,AS69&gt;0),1,0)</f>
        <v/>
      </c>
      <c r="AW69" s="5">
        <f>AS69/(1+_z1ltt4)^A69</f>
        <v/>
      </c>
      <c r="AX69" s="5">
        <f>AX68+AW69</f>
        <v/>
      </c>
      <c r="AY69" s="5">
        <f>IF(AND(AX68&lt;0,AX69&gt;=0,AW69&gt;0),1,0)</f>
        <v/>
      </c>
      <c r="AZ69" s="5">
        <f>(_z39asj+_zy2ig8)*C69</f>
        <v/>
      </c>
      <c r="BA69" s="5">
        <f>IF(B69,_zkfhzg+_zdd3mz+_z2y4dt+F69-AQ69,0)</f>
        <v/>
      </c>
      <c r="BB69" s="5">
        <f>IF(AR69=0,BB68,SIGN(AR69))</f>
        <v/>
      </c>
      <c r="BC69" s="5">
        <f>BC68+IF(OR(AR69=0,BB68=0),0,IF(SIGN(AR69)&lt;&gt;BB68,1,0))</f>
        <v/>
      </c>
      <c r="BD69" s="5">
        <f>IF(AS69=0,BD68,SIGN(AS69))</f>
        <v/>
      </c>
      <c r="BE69" s="5">
        <f>BE68+IF(OR(AS69=0,BD68=0),0,IF(SIGN(AS69)&lt;&gt;BD68,1,0))</f>
        <v/>
      </c>
      <c r="BF69" s="5">
        <f>IF(AT69=0,BF68,SIGN(AT69))</f>
        <v/>
      </c>
      <c r="BG69" s="5">
        <f>BG68+IF(OR(AT69=0,BF68=0),0,IF(SIGN(AT69)&lt;&gt;BF68,1,0))</f>
        <v/>
      </c>
    </row>
    <row r="70">
      <c r="A70" s="5" t="n">
        <v>6</v>
      </c>
      <c r="B70" s="5">
        <f>AND(A70&gt;=1,A70&lt;=_zx5hja)</f>
        <v/>
      </c>
      <c r="C70" s="5">
        <f>IF(B70,(1-_zecdlb)^(A70-1),0)</f>
        <v/>
      </c>
      <c r="D70" s="5">
        <f>(_zgk3lw+_z7m6d8)*C70</f>
        <v/>
      </c>
      <c r="E70" s="5">
        <f>IF(B70,D70+_zmztd5-_zdd3mz-_z2y4dt,0)</f>
        <v/>
      </c>
      <c r="F70" s="5">
        <f>IF(AND(B70,A70=_ztfkfy),_z4p8is*_zh30bl,0)</f>
        <v/>
      </c>
      <c r="G70" s="5">
        <f>F70*0.13/(1+0.13)</f>
        <v/>
      </c>
      <c r="H70" s="5">
        <f>F70-G70</f>
        <v/>
      </c>
      <c r="I70" s="5">
        <f>IF(B70,_z7m6d8*C70+_zz1w2z,0)</f>
        <v/>
      </c>
      <c r="J70" s="5">
        <f>I70/(1+0.13)</f>
        <v/>
      </c>
      <c r="K70" s="5">
        <f>I70-J70</f>
        <v/>
      </c>
      <c r="L70" s="5">
        <f>N69+G70</f>
        <v/>
      </c>
      <c r="M70" s="5">
        <f>MAX(0,K70-L70)</f>
        <v/>
      </c>
      <c r="N70" s="5">
        <f>MAX(0,L70-K70)</f>
        <v/>
      </c>
      <c r="O70" s="5">
        <f>M70*0.12</f>
        <v/>
      </c>
      <c r="P70" s="5">
        <f>E70-K70</f>
        <v/>
      </c>
      <c r="Q70" s="5">
        <f>U69</f>
        <v/>
      </c>
      <c r="R70" s="5">
        <f>IF(AND(B70,A70&lt;=_z2al7i),Q70*_zks9j8,0)</f>
        <v/>
      </c>
      <c r="S70" s="5">
        <f>IF(AND(B70,A70&lt;=_z2al7i),_zgsfrl,0)</f>
        <v/>
      </c>
      <c r="T70" s="5">
        <f>S70-R70</f>
        <v/>
      </c>
      <c r="U70" s="5">
        <f>MAX(0,Q70-T70)</f>
        <v/>
      </c>
      <c r="V70" s="5">
        <f>IF(AND(B70,A70&lt;=_zupe8l),_z0jo6h,0)</f>
        <v/>
      </c>
      <c r="W70" s="5">
        <f>IF((_zlt415="是"),IF(A70&lt;=3,0,IF(A70&lt;=6,0.5,1)),1)</f>
        <v/>
      </c>
      <c r="X70" s="5">
        <f>_zrzkf6*W70+(1-_zrzkf6)</f>
        <v/>
      </c>
      <c r="Y70" s="5">
        <f>IF(B70,P70-_zkfhzg-O70-V70-H70,0)</f>
        <v/>
      </c>
      <c r="Z70" s="5">
        <f>MAX(0,-Y69)</f>
        <v/>
      </c>
      <c r="AA70" s="5">
        <f>MIN(Z69,MAX(0,(AD69+AC69+AB69+AA69+Z69)-AE69))</f>
        <v/>
      </c>
      <c r="AB70" s="5">
        <f>MIN(AA69,MAX(0,(AD69+AC69+AB69+AA69)-AE69))</f>
        <v/>
      </c>
      <c r="AC70" s="5">
        <f>MIN(AB69,MAX(0,(AD69+AC69+AB69)-AE69))</f>
        <v/>
      </c>
      <c r="AD70" s="5">
        <f>MIN(AC69,MAX(0,(AD69+AC69)-AE69))</f>
        <v/>
      </c>
      <c r="AE70" s="5">
        <f>MIN(MAX(Y70,0),Z70+AA70+AB70+AC70+AD70)</f>
        <v/>
      </c>
      <c r="AF70" s="5">
        <f>MAX(Y70,0)-AE70</f>
        <v/>
      </c>
      <c r="AG70" s="5">
        <f>AF70*_zk03a3*X70</f>
        <v/>
      </c>
      <c r="AH70" s="5">
        <f>IF(B70,Y70-R70,0)</f>
        <v/>
      </c>
      <c r="AI70" s="5">
        <f>MAX(0,-AH69)</f>
        <v/>
      </c>
      <c r="AJ70" s="5">
        <f>MIN(AI69,MAX(0,(AM69+AL69+AK69+AJ69+AI69)-AN69))</f>
        <v/>
      </c>
      <c r="AK70" s="5">
        <f>MIN(AJ69,MAX(0,(AM69+AL69+AK69+AJ69)-AN69))</f>
        <v/>
      </c>
      <c r="AL70" s="5">
        <f>MIN(AK69,MAX(0,(AM69+AL69+AK69)-AN69))</f>
        <v/>
      </c>
      <c r="AM70" s="5">
        <f>MIN(AL69,MAX(0,(AM69+AL69)-AN69))</f>
        <v/>
      </c>
      <c r="AN70" s="5">
        <f>MIN(MAX(AH70,0),AI70+AJ70+AK70+AL70+AM70)</f>
        <v/>
      </c>
      <c r="AO70" s="5">
        <f>MAX(AH70,0)-AN70</f>
        <v/>
      </c>
      <c r="AP70" s="5">
        <f>AO70*_zk03a3*X70</f>
        <v/>
      </c>
      <c r="AQ70" s="5">
        <f>IF(A70=_zx5hja,_zk1wd3,0)</f>
        <v/>
      </c>
      <c r="AR70" s="5">
        <f>IF(B70,E70-_zkfhzg-M70-O70-F70+AQ70,0)</f>
        <v/>
      </c>
      <c r="AS70" s="5">
        <f>AR70-AG70</f>
        <v/>
      </c>
      <c r="AT70" s="5">
        <f>IF(B70,E70-_zkfhzg-M70-O70-F70-S70-AP70+AQ70-IF(AND(A70=_zx5hja,_z2al7i&gt;_zx5hja),U70,0),0)</f>
        <v/>
      </c>
      <c r="AU70" s="5">
        <f>AU69+AS70</f>
        <v/>
      </c>
      <c r="AV70" s="5">
        <f>IF(AND(AU69&lt;0,AU70&gt;=0,AS70&gt;0),1,0)</f>
        <v/>
      </c>
      <c r="AW70" s="5">
        <f>AS70/(1+_z1ltt4)^A70</f>
        <v/>
      </c>
      <c r="AX70" s="5">
        <f>AX69+AW70</f>
        <v/>
      </c>
      <c r="AY70" s="5">
        <f>IF(AND(AX69&lt;0,AX70&gt;=0,AW70&gt;0),1,0)</f>
        <v/>
      </c>
      <c r="AZ70" s="5">
        <f>(_z39asj+_zy2ig8)*C70</f>
        <v/>
      </c>
      <c r="BA70" s="5">
        <f>IF(B70,_zkfhzg+_zdd3mz+_z2y4dt+F70-AQ70,0)</f>
        <v/>
      </c>
      <c r="BB70" s="5">
        <f>IF(AR70=0,BB69,SIGN(AR70))</f>
        <v/>
      </c>
      <c r="BC70" s="5">
        <f>BC69+IF(OR(AR70=0,BB69=0),0,IF(SIGN(AR70)&lt;&gt;BB69,1,0))</f>
        <v/>
      </c>
      <c r="BD70" s="5">
        <f>IF(AS70=0,BD69,SIGN(AS70))</f>
        <v/>
      </c>
      <c r="BE70" s="5">
        <f>BE69+IF(OR(AS70=0,BD69=0),0,IF(SIGN(AS70)&lt;&gt;BD69,1,0))</f>
        <v/>
      </c>
      <c r="BF70" s="5">
        <f>IF(AT70=0,BF69,SIGN(AT70))</f>
        <v/>
      </c>
      <c r="BG70" s="5">
        <f>BG69+IF(OR(AT70=0,BF69=0),0,IF(SIGN(AT70)&lt;&gt;BF69,1,0))</f>
        <v/>
      </c>
    </row>
    <row r="71">
      <c r="A71" s="5" t="n">
        <v>7</v>
      </c>
      <c r="B71" s="5">
        <f>AND(A71&gt;=1,A71&lt;=_zx5hja)</f>
        <v/>
      </c>
      <c r="C71" s="5">
        <f>IF(B71,(1-_zecdlb)^(A71-1),0)</f>
        <v/>
      </c>
      <c r="D71" s="5">
        <f>(_zgk3lw+_z7m6d8)*C71</f>
        <v/>
      </c>
      <c r="E71" s="5">
        <f>IF(B71,D71+_zmztd5-_zdd3mz-_z2y4dt,0)</f>
        <v/>
      </c>
      <c r="F71" s="5">
        <f>IF(AND(B71,A71=_ztfkfy),_z4p8is*_zh30bl,0)</f>
        <v/>
      </c>
      <c r="G71" s="5">
        <f>F71*0.13/(1+0.13)</f>
        <v/>
      </c>
      <c r="H71" s="5">
        <f>F71-G71</f>
        <v/>
      </c>
      <c r="I71" s="5">
        <f>IF(B71,_z7m6d8*C71+_zz1w2z,0)</f>
        <v/>
      </c>
      <c r="J71" s="5">
        <f>I71/(1+0.13)</f>
        <v/>
      </c>
      <c r="K71" s="5">
        <f>I71-J71</f>
        <v/>
      </c>
      <c r="L71" s="5">
        <f>N70+G71</f>
        <v/>
      </c>
      <c r="M71" s="5">
        <f>MAX(0,K71-L71)</f>
        <v/>
      </c>
      <c r="N71" s="5">
        <f>MAX(0,L71-K71)</f>
        <v/>
      </c>
      <c r="O71" s="5">
        <f>M71*0.12</f>
        <v/>
      </c>
      <c r="P71" s="5">
        <f>E71-K71</f>
        <v/>
      </c>
      <c r="Q71" s="5">
        <f>U70</f>
        <v/>
      </c>
      <c r="R71" s="5">
        <f>IF(AND(B71,A71&lt;=_z2al7i),Q71*_zks9j8,0)</f>
        <v/>
      </c>
      <c r="S71" s="5">
        <f>IF(AND(B71,A71&lt;=_z2al7i),_zgsfrl,0)</f>
        <v/>
      </c>
      <c r="T71" s="5">
        <f>S71-R71</f>
        <v/>
      </c>
      <c r="U71" s="5">
        <f>MAX(0,Q71-T71)</f>
        <v/>
      </c>
      <c r="V71" s="5">
        <f>IF(AND(B71,A71&lt;=_zupe8l),_z0jo6h,0)</f>
        <v/>
      </c>
      <c r="W71" s="5">
        <f>IF((_zlt415="是"),IF(A71&lt;=3,0,IF(A71&lt;=6,0.5,1)),1)</f>
        <v/>
      </c>
      <c r="X71" s="5">
        <f>_zrzkf6*W71+(1-_zrzkf6)</f>
        <v/>
      </c>
      <c r="Y71" s="5">
        <f>IF(B71,P71-_zkfhzg-O71-V71-H71,0)</f>
        <v/>
      </c>
      <c r="Z71" s="5">
        <f>MAX(0,-Y70)</f>
        <v/>
      </c>
      <c r="AA71" s="5">
        <f>MIN(Z70,MAX(0,(AD70+AC70+AB70+AA70+Z70)-AE70))</f>
        <v/>
      </c>
      <c r="AB71" s="5">
        <f>MIN(AA70,MAX(0,(AD70+AC70+AB70+AA70)-AE70))</f>
        <v/>
      </c>
      <c r="AC71" s="5">
        <f>MIN(AB70,MAX(0,(AD70+AC70+AB70)-AE70))</f>
        <v/>
      </c>
      <c r="AD71" s="5">
        <f>MIN(AC70,MAX(0,(AD70+AC70)-AE70))</f>
        <v/>
      </c>
      <c r="AE71" s="5">
        <f>MIN(MAX(Y71,0),Z71+AA71+AB71+AC71+AD71)</f>
        <v/>
      </c>
      <c r="AF71" s="5">
        <f>MAX(Y71,0)-AE71</f>
        <v/>
      </c>
      <c r="AG71" s="5">
        <f>AF71*_zk03a3*X71</f>
        <v/>
      </c>
      <c r="AH71" s="5">
        <f>IF(B71,Y71-R71,0)</f>
        <v/>
      </c>
      <c r="AI71" s="5">
        <f>MAX(0,-AH70)</f>
        <v/>
      </c>
      <c r="AJ71" s="5">
        <f>MIN(AI70,MAX(0,(AM70+AL70+AK70+AJ70+AI70)-AN70))</f>
        <v/>
      </c>
      <c r="AK71" s="5">
        <f>MIN(AJ70,MAX(0,(AM70+AL70+AK70+AJ70)-AN70))</f>
        <v/>
      </c>
      <c r="AL71" s="5">
        <f>MIN(AK70,MAX(0,(AM70+AL70+AK70)-AN70))</f>
        <v/>
      </c>
      <c r="AM71" s="5">
        <f>MIN(AL70,MAX(0,(AM70+AL70)-AN70))</f>
        <v/>
      </c>
      <c r="AN71" s="5">
        <f>MIN(MAX(AH71,0),AI71+AJ71+AK71+AL71+AM71)</f>
        <v/>
      </c>
      <c r="AO71" s="5">
        <f>MAX(AH71,0)-AN71</f>
        <v/>
      </c>
      <c r="AP71" s="5">
        <f>AO71*_zk03a3*X71</f>
        <v/>
      </c>
      <c r="AQ71" s="5">
        <f>IF(A71=_zx5hja,_zk1wd3,0)</f>
        <v/>
      </c>
      <c r="AR71" s="5">
        <f>IF(B71,E71-_zkfhzg-M71-O71-F71+AQ71,0)</f>
        <v/>
      </c>
      <c r="AS71" s="5">
        <f>AR71-AG71</f>
        <v/>
      </c>
      <c r="AT71" s="5">
        <f>IF(B71,E71-_zkfhzg-M71-O71-F71-S71-AP71+AQ71-IF(AND(A71=_zx5hja,_z2al7i&gt;_zx5hja),U71,0),0)</f>
        <v/>
      </c>
      <c r="AU71" s="5">
        <f>AU70+AS71</f>
        <v/>
      </c>
      <c r="AV71" s="5">
        <f>IF(AND(AU70&lt;0,AU71&gt;=0,AS71&gt;0),1,0)</f>
        <v/>
      </c>
      <c r="AW71" s="5">
        <f>AS71/(1+_z1ltt4)^A71</f>
        <v/>
      </c>
      <c r="AX71" s="5">
        <f>AX70+AW71</f>
        <v/>
      </c>
      <c r="AY71" s="5">
        <f>IF(AND(AX70&lt;0,AX71&gt;=0,AW71&gt;0),1,0)</f>
        <v/>
      </c>
      <c r="AZ71" s="5">
        <f>(_z39asj+_zy2ig8)*C71</f>
        <v/>
      </c>
      <c r="BA71" s="5">
        <f>IF(B71,_zkfhzg+_zdd3mz+_z2y4dt+F71-AQ71,0)</f>
        <v/>
      </c>
      <c r="BB71" s="5">
        <f>IF(AR71=0,BB70,SIGN(AR71))</f>
        <v/>
      </c>
      <c r="BC71" s="5">
        <f>BC70+IF(OR(AR71=0,BB70=0),0,IF(SIGN(AR71)&lt;&gt;BB70,1,0))</f>
        <v/>
      </c>
      <c r="BD71" s="5">
        <f>IF(AS71=0,BD70,SIGN(AS71))</f>
        <v/>
      </c>
      <c r="BE71" s="5">
        <f>BE70+IF(OR(AS71=0,BD70=0),0,IF(SIGN(AS71)&lt;&gt;BD70,1,0))</f>
        <v/>
      </c>
      <c r="BF71" s="5">
        <f>IF(AT71=0,BF70,SIGN(AT71))</f>
        <v/>
      </c>
      <c r="BG71" s="5">
        <f>BG70+IF(OR(AT71=0,BF70=0),0,IF(SIGN(AT71)&lt;&gt;BF70,1,0))</f>
        <v/>
      </c>
    </row>
    <row r="72">
      <c r="A72" s="5" t="n">
        <v>8</v>
      </c>
      <c r="B72" s="5">
        <f>AND(A72&gt;=1,A72&lt;=_zx5hja)</f>
        <v/>
      </c>
      <c r="C72" s="5">
        <f>IF(B72,(1-_zecdlb)^(A72-1),0)</f>
        <v/>
      </c>
      <c r="D72" s="5">
        <f>(_zgk3lw+_z7m6d8)*C72</f>
        <v/>
      </c>
      <c r="E72" s="5">
        <f>IF(B72,D72+_zmztd5-_zdd3mz-_z2y4dt,0)</f>
        <v/>
      </c>
      <c r="F72" s="5">
        <f>IF(AND(B72,A72=_ztfkfy),_z4p8is*_zh30bl,0)</f>
        <v/>
      </c>
      <c r="G72" s="5">
        <f>F72*0.13/(1+0.13)</f>
        <v/>
      </c>
      <c r="H72" s="5">
        <f>F72-G72</f>
        <v/>
      </c>
      <c r="I72" s="5">
        <f>IF(B72,_z7m6d8*C72+_zz1w2z,0)</f>
        <v/>
      </c>
      <c r="J72" s="5">
        <f>I72/(1+0.13)</f>
        <v/>
      </c>
      <c r="K72" s="5">
        <f>I72-J72</f>
        <v/>
      </c>
      <c r="L72" s="5">
        <f>N71+G72</f>
        <v/>
      </c>
      <c r="M72" s="5">
        <f>MAX(0,K72-L72)</f>
        <v/>
      </c>
      <c r="N72" s="5">
        <f>MAX(0,L72-K72)</f>
        <v/>
      </c>
      <c r="O72" s="5">
        <f>M72*0.12</f>
        <v/>
      </c>
      <c r="P72" s="5">
        <f>E72-K72</f>
        <v/>
      </c>
      <c r="Q72" s="5">
        <f>U71</f>
        <v/>
      </c>
      <c r="R72" s="5">
        <f>IF(AND(B72,A72&lt;=_z2al7i),Q72*_zks9j8,0)</f>
        <v/>
      </c>
      <c r="S72" s="5">
        <f>IF(AND(B72,A72&lt;=_z2al7i),_zgsfrl,0)</f>
        <v/>
      </c>
      <c r="T72" s="5">
        <f>S72-R72</f>
        <v/>
      </c>
      <c r="U72" s="5">
        <f>MAX(0,Q72-T72)</f>
        <v/>
      </c>
      <c r="V72" s="5">
        <f>IF(AND(B72,A72&lt;=_zupe8l),_z0jo6h,0)</f>
        <v/>
      </c>
      <c r="W72" s="5">
        <f>IF((_zlt415="是"),IF(A72&lt;=3,0,IF(A72&lt;=6,0.5,1)),1)</f>
        <v/>
      </c>
      <c r="X72" s="5">
        <f>_zrzkf6*W72+(1-_zrzkf6)</f>
        <v/>
      </c>
      <c r="Y72" s="5">
        <f>IF(B72,P72-_zkfhzg-O72-V72-H72,0)</f>
        <v/>
      </c>
      <c r="Z72" s="5">
        <f>MAX(0,-Y71)</f>
        <v/>
      </c>
      <c r="AA72" s="5">
        <f>MIN(Z71,MAX(0,(AD71+AC71+AB71+AA71+Z71)-AE71))</f>
        <v/>
      </c>
      <c r="AB72" s="5">
        <f>MIN(AA71,MAX(0,(AD71+AC71+AB71+AA71)-AE71))</f>
        <v/>
      </c>
      <c r="AC72" s="5">
        <f>MIN(AB71,MAX(0,(AD71+AC71+AB71)-AE71))</f>
        <v/>
      </c>
      <c r="AD72" s="5">
        <f>MIN(AC71,MAX(0,(AD71+AC71)-AE71))</f>
        <v/>
      </c>
      <c r="AE72" s="5">
        <f>MIN(MAX(Y72,0),Z72+AA72+AB72+AC72+AD72)</f>
        <v/>
      </c>
      <c r="AF72" s="5">
        <f>MAX(Y72,0)-AE72</f>
        <v/>
      </c>
      <c r="AG72" s="5">
        <f>AF72*_zk03a3*X72</f>
        <v/>
      </c>
      <c r="AH72" s="5">
        <f>IF(B72,Y72-R72,0)</f>
        <v/>
      </c>
      <c r="AI72" s="5">
        <f>MAX(0,-AH71)</f>
        <v/>
      </c>
      <c r="AJ72" s="5">
        <f>MIN(AI71,MAX(0,(AM71+AL71+AK71+AJ71+AI71)-AN71))</f>
        <v/>
      </c>
      <c r="AK72" s="5">
        <f>MIN(AJ71,MAX(0,(AM71+AL71+AK71+AJ71)-AN71))</f>
        <v/>
      </c>
      <c r="AL72" s="5">
        <f>MIN(AK71,MAX(0,(AM71+AL71+AK71)-AN71))</f>
        <v/>
      </c>
      <c r="AM72" s="5">
        <f>MIN(AL71,MAX(0,(AM71+AL71)-AN71))</f>
        <v/>
      </c>
      <c r="AN72" s="5">
        <f>MIN(MAX(AH72,0),AI72+AJ72+AK72+AL72+AM72)</f>
        <v/>
      </c>
      <c r="AO72" s="5">
        <f>MAX(AH72,0)-AN72</f>
        <v/>
      </c>
      <c r="AP72" s="5">
        <f>AO72*_zk03a3*X72</f>
        <v/>
      </c>
      <c r="AQ72" s="5">
        <f>IF(A72=_zx5hja,_zk1wd3,0)</f>
        <v/>
      </c>
      <c r="AR72" s="5">
        <f>IF(B72,E72-_zkfhzg-M72-O72-F72+AQ72,0)</f>
        <v/>
      </c>
      <c r="AS72" s="5">
        <f>AR72-AG72</f>
        <v/>
      </c>
      <c r="AT72" s="5">
        <f>IF(B72,E72-_zkfhzg-M72-O72-F72-S72-AP72+AQ72-IF(AND(A72=_zx5hja,_z2al7i&gt;_zx5hja),U72,0),0)</f>
        <v/>
      </c>
      <c r="AU72" s="5">
        <f>AU71+AS72</f>
        <v/>
      </c>
      <c r="AV72" s="5">
        <f>IF(AND(AU71&lt;0,AU72&gt;=0,AS72&gt;0),1,0)</f>
        <v/>
      </c>
      <c r="AW72" s="5">
        <f>AS72/(1+_z1ltt4)^A72</f>
        <v/>
      </c>
      <c r="AX72" s="5">
        <f>AX71+AW72</f>
        <v/>
      </c>
      <c r="AY72" s="5">
        <f>IF(AND(AX71&lt;0,AX72&gt;=0,AW72&gt;0),1,0)</f>
        <v/>
      </c>
      <c r="AZ72" s="5">
        <f>(_z39asj+_zy2ig8)*C72</f>
        <v/>
      </c>
      <c r="BA72" s="5">
        <f>IF(B72,_zkfhzg+_zdd3mz+_z2y4dt+F72-AQ72,0)</f>
        <v/>
      </c>
      <c r="BB72" s="5">
        <f>IF(AR72=0,BB71,SIGN(AR72))</f>
        <v/>
      </c>
      <c r="BC72" s="5">
        <f>BC71+IF(OR(AR72=0,BB71=0),0,IF(SIGN(AR72)&lt;&gt;BB71,1,0))</f>
        <v/>
      </c>
      <c r="BD72" s="5">
        <f>IF(AS72=0,BD71,SIGN(AS72))</f>
        <v/>
      </c>
      <c r="BE72" s="5">
        <f>BE71+IF(OR(AS72=0,BD71=0),0,IF(SIGN(AS72)&lt;&gt;BD71,1,0))</f>
        <v/>
      </c>
      <c r="BF72" s="5">
        <f>IF(AT72=0,BF71,SIGN(AT72))</f>
        <v/>
      </c>
      <c r="BG72" s="5">
        <f>BG71+IF(OR(AT72=0,BF71=0),0,IF(SIGN(AT72)&lt;&gt;BF71,1,0))</f>
        <v/>
      </c>
    </row>
    <row r="73">
      <c r="A73" s="5" t="n">
        <v>9</v>
      </c>
      <c r="B73" s="5">
        <f>AND(A73&gt;=1,A73&lt;=_zx5hja)</f>
        <v/>
      </c>
      <c r="C73" s="5">
        <f>IF(B73,(1-_zecdlb)^(A73-1),0)</f>
        <v/>
      </c>
      <c r="D73" s="5">
        <f>(_zgk3lw+_z7m6d8)*C73</f>
        <v/>
      </c>
      <c r="E73" s="5">
        <f>IF(B73,D73+_zmztd5-_zdd3mz-_z2y4dt,0)</f>
        <v/>
      </c>
      <c r="F73" s="5">
        <f>IF(AND(B73,A73=_ztfkfy),_z4p8is*_zh30bl,0)</f>
        <v/>
      </c>
      <c r="G73" s="5">
        <f>F73*0.13/(1+0.13)</f>
        <v/>
      </c>
      <c r="H73" s="5">
        <f>F73-G73</f>
        <v/>
      </c>
      <c r="I73" s="5">
        <f>IF(B73,_z7m6d8*C73+_zz1w2z,0)</f>
        <v/>
      </c>
      <c r="J73" s="5">
        <f>I73/(1+0.13)</f>
        <v/>
      </c>
      <c r="K73" s="5">
        <f>I73-J73</f>
        <v/>
      </c>
      <c r="L73" s="5">
        <f>N72+G73</f>
        <v/>
      </c>
      <c r="M73" s="5">
        <f>MAX(0,K73-L73)</f>
        <v/>
      </c>
      <c r="N73" s="5">
        <f>MAX(0,L73-K73)</f>
        <v/>
      </c>
      <c r="O73" s="5">
        <f>M73*0.12</f>
        <v/>
      </c>
      <c r="P73" s="5">
        <f>E73-K73</f>
        <v/>
      </c>
      <c r="Q73" s="5">
        <f>U72</f>
        <v/>
      </c>
      <c r="R73" s="5">
        <f>IF(AND(B73,A73&lt;=_z2al7i),Q73*_zks9j8,0)</f>
        <v/>
      </c>
      <c r="S73" s="5">
        <f>IF(AND(B73,A73&lt;=_z2al7i),_zgsfrl,0)</f>
        <v/>
      </c>
      <c r="T73" s="5">
        <f>S73-R73</f>
        <v/>
      </c>
      <c r="U73" s="5">
        <f>MAX(0,Q73-T73)</f>
        <v/>
      </c>
      <c r="V73" s="5">
        <f>IF(AND(B73,A73&lt;=_zupe8l),_z0jo6h,0)</f>
        <v/>
      </c>
      <c r="W73" s="5">
        <f>IF((_zlt415="是"),IF(A73&lt;=3,0,IF(A73&lt;=6,0.5,1)),1)</f>
        <v/>
      </c>
      <c r="X73" s="5">
        <f>_zrzkf6*W73+(1-_zrzkf6)</f>
        <v/>
      </c>
      <c r="Y73" s="5">
        <f>IF(B73,P73-_zkfhzg-O73-V73-H73,0)</f>
        <v/>
      </c>
      <c r="Z73" s="5">
        <f>MAX(0,-Y72)</f>
        <v/>
      </c>
      <c r="AA73" s="5">
        <f>MIN(Z72,MAX(0,(AD72+AC72+AB72+AA72+Z72)-AE72))</f>
        <v/>
      </c>
      <c r="AB73" s="5">
        <f>MIN(AA72,MAX(0,(AD72+AC72+AB72+AA72)-AE72))</f>
        <v/>
      </c>
      <c r="AC73" s="5">
        <f>MIN(AB72,MAX(0,(AD72+AC72+AB72)-AE72))</f>
        <v/>
      </c>
      <c r="AD73" s="5">
        <f>MIN(AC72,MAX(0,(AD72+AC72)-AE72))</f>
        <v/>
      </c>
      <c r="AE73" s="5">
        <f>MIN(MAX(Y73,0),Z73+AA73+AB73+AC73+AD73)</f>
        <v/>
      </c>
      <c r="AF73" s="5">
        <f>MAX(Y73,0)-AE73</f>
        <v/>
      </c>
      <c r="AG73" s="5">
        <f>AF73*_zk03a3*X73</f>
        <v/>
      </c>
      <c r="AH73" s="5">
        <f>IF(B73,Y73-R73,0)</f>
        <v/>
      </c>
      <c r="AI73" s="5">
        <f>MAX(0,-AH72)</f>
        <v/>
      </c>
      <c r="AJ73" s="5">
        <f>MIN(AI72,MAX(0,(AM72+AL72+AK72+AJ72+AI72)-AN72))</f>
        <v/>
      </c>
      <c r="AK73" s="5">
        <f>MIN(AJ72,MAX(0,(AM72+AL72+AK72+AJ72)-AN72))</f>
        <v/>
      </c>
      <c r="AL73" s="5">
        <f>MIN(AK72,MAX(0,(AM72+AL72+AK72)-AN72))</f>
        <v/>
      </c>
      <c r="AM73" s="5">
        <f>MIN(AL72,MAX(0,(AM72+AL72)-AN72))</f>
        <v/>
      </c>
      <c r="AN73" s="5">
        <f>MIN(MAX(AH73,0),AI73+AJ73+AK73+AL73+AM73)</f>
        <v/>
      </c>
      <c r="AO73" s="5">
        <f>MAX(AH73,0)-AN73</f>
        <v/>
      </c>
      <c r="AP73" s="5">
        <f>AO73*_zk03a3*X73</f>
        <v/>
      </c>
      <c r="AQ73" s="5">
        <f>IF(A73=_zx5hja,_zk1wd3,0)</f>
        <v/>
      </c>
      <c r="AR73" s="5">
        <f>IF(B73,E73-_zkfhzg-M73-O73-F73+AQ73,0)</f>
        <v/>
      </c>
      <c r="AS73" s="5">
        <f>AR73-AG73</f>
        <v/>
      </c>
      <c r="AT73" s="5">
        <f>IF(B73,E73-_zkfhzg-M73-O73-F73-S73-AP73+AQ73-IF(AND(A73=_zx5hja,_z2al7i&gt;_zx5hja),U73,0),0)</f>
        <v/>
      </c>
      <c r="AU73" s="5">
        <f>AU72+AS73</f>
        <v/>
      </c>
      <c r="AV73" s="5">
        <f>IF(AND(AU72&lt;0,AU73&gt;=0,AS73&gt;0),1,0)</f>
        <v/>
      </c>
      <c r="AW73" s="5">
        <f>AS73/(1+_z1ltt4)^A73</f>
        <v/>
      </c>
      <c r="AX73" s="5">
        <f>AX72+AW73</f>
        <v/>
      </c>
      <c r="AY73" s="5">
        <f>IF(AND(AX72&lt;0,AX73&gt;=0,AW73&gt;0),1,0)</f>
        <v/>
      </c>
      <c r="AZ73" s="5">
        <f>(_z39asj+_zy2ig8)*C73</f>
        <v/>
      </c>
      <c r="BA73" s="5">
        <f>IF(B73,_zkfhzg+_zdd3mz+_z2y4dt+F73-AQ73,0)</f>
        <v/>
      </c>
      <c r="BB73" s="5">
        <f>IF(AR73=0,BB72,SIGN(AR73))</f>
        <v/>
      </c>
      <c r="BC73" s="5">
        <f>BC72+IF(OR(AR73=0,BB72=0),0,IF(SIGN(AR73)&lt;&gt;BB72,1,0))</f>
        <v/>
      </c>
      <c r="BD73" s="5">
        <f>IF(AS73=0,BD72,SIGN(AS73))</f>
        <v/>
      </c>
      <c r="BE73" s="5">
        <f>BE72+IF(OR(AS73=0,BD72=0),0,IF(SIGN(AS73)&lt;&gt;BD72,1,0))</f>
        <v/>
      </c>
      <c r="BF73" s="5">
        <f>IF(AT73=0,BF72,SIGN(AT73))</f>
        <v/>
      </c>
      <c r="BG73" s="5">
        <f>BG72+IF(OR(AT73=0,BF72=0),0,IF(SIGN(AT73)&lt;&gt;BF72,1,0))</f>
        <v/>
      </c>
    </row>
    <row r="74">
      <c r="A74" s="5" t="n">
        <v>10</v>
      </c>
      <c r="B74" s="5">
        <f>AND(A74&gt;=1,A74&lt;=_zx5hja)</f>
        <v/>
      </c>
      <c r="C74" s="5">
        <f>IF(B74,(1-_zecdlb)^(A74-1),0)</f>
        <v/>
      </c>
      <c r="D74" s="5">
        <f>(_zgk3lw+_z7m6d8)*C74</f>
        <v/>
      </c>
      <c r="E74" s="5">
        <f>IF(B74,D74+_zmztd5-_zdd3mz-_z2y4dt,0)</f>
        <v/>
      </c>
      <c r="F74" s="5">
        <f>IF(AND(B74,A74=_ztfkfy),_z4p8is*_zh30bl,0)</f>
        <v/>
      </c>
      <c r="G74" s="5">
        <f>F74*0.13/(1+0.13)</f>
        <v/>
      </c>
      <c r="H74" s="5">
        <f>F74-G74</f>
        <v/>
      </c>
      <c r="I74" s="5">
        <f>IF(B74,_z7m6d8*C74+_zz1w2z,0)</f>
        <v/>
      </c>
      <c r="J74" s="5">
        <f>I74/(1+0.13)</f>
        <v/>
      </c>
      <c r="K74" s="5">
        <f>I74-J74</f>
        <v/>
      </c>
      <c r="L74" s="5">
        <f>N73+G74</f>
        <v/>
      </c>
      <c r="M74" s="5">
        <f>MAX(0,K74-L74)</f>
        <v/>
      </c>
      <c r="N74" s="5">
        <f>MAX(0,L74-K74)</f>
        <v/>
      </c>
      <c r="O74" s="5">
        <f>M74*0.12</f>
        <v/>
      </c>
      <c r="P74" s="5">
        <f>E74-K74</f>
        <v/>
      </c>
      <c r="Q74" s="5">
        <f>U73</f>
        <v/>
      </c>
      <c r="R74" s="5">
        <f>IF(AND(B74,A74&lt;=_z2al7i),Q74*_zks9j8,0)</f>
        <v/>
      </c>
      <c r="S74" s="5">
        <f>IF(AND(B74,A74&lt;=_z2al7i),_zgsfrl,0)</f>
        <v/>
      </c>
      <c r="T74" s="5">
        <f>S74-R74</f>
        <v/>
      </c>
      <c r="U74" s="5">
        <f>MAX(0,Q74-T74)</f>
        <v/>
      </c>
      <c r="V74" s="5">
        <f>IF(AND(B74,A74&lt;=_zupe8l),_z0jo6h,0)</f>
        <v/>
      </c>
      <c r="W74" s="5">
        <f>IF((_zlt415="是"),IF(A74&lt;=3,0,IF(A74&lt;=6,0.5,1)),1)</f>
        <v/>
      </c>
      <c r="X74" s="5">
        <f>_zrzkf6*W74+(1-_zrzkf6)</f>
        <v/>
      </c>
      <c r="Y74" s="5">
        <f>IF(B74,P74-_zkfhzg-O74-V74-H74,0)</f>
        <v/>
      </c>
      <c r="Z74" s="5">
        <f>MAX(0,-Y73)</f>
        <v/>
      </c>
      <c r="AA74" s="5">
        <f>MIN(Z73,MAX(0,(AD73+AC73+AB73+AA73+Z73)-AE73))</f>
        <v/>
      </c>
      <c r="AB74" s="5">
        <f>MIN(AA73,MAX(0,(AD73+AC73+AB73+AA73)-AE73))</f>
        <v/>
      </c>
      <c r="AC74" s="5">
        <f>MIN(AB73,MAX(0,(AD73+AC73+AB73)-AE73))</f>
        <v/>
      </c>
      <c r="AD74" s="5">
        <f>MIN(AC73,MAX(0,(AD73+AC73)-AE73))</f>
        <v/>
      </c>
      <c r="AE74" s="5">
        <f>MIN(MAX(Y74,0),Z74+AA74+AB74+AC74+AD74)</f>
        <v/>
      </c>
      <c r="AF74" s="5">
        <f>MAX(Y74,0)-AE74</f>
        <v/>
      </c>
      <c r="AG74" s="5">
        <f>AF74*_zk03a3*X74</f>
        <v/>
      </c>
      <c r="AH74" s="5">
        <f>IF(B74,Y74-R74,0)</f>
        <v/>
      </c>
      <c r="AI74" s="5">
        <f>MAX(0,-AH73)</f>
        <v/>
      </c>
      <c r="AJ74" s="5">
        <f>MIN(AI73,MAX(0,(AM73+AL73+AK73+AJ73+AI73)-AN73))</f>
        <v/>
      </c>
      <c r="AK74" s="5">
        <f>MIN(AJ73,MAX(0,(AM73+AL73+AK73+AJ73)-AN73))</f>
        <v/>
      </c>
      <c r="AL74" s="5">
        <f>MIN(AK73,MAX(0,(AM73+AL73+AK73)-AN73))</f>
        <v/>
      </c>
      <c r="AM74" s="5">
        <f>MIN(AL73,MAX(0,(AM73+AL73)-AN73))</f>
        <v/>
      </c>
      <c r="AN74" s="5">
        <f>MIN(MAX(AH74,0),AI74+AJ74+AK74+AL74+AM74)</f>
        <v/>
      </c>
      <c r="AO74" s="5">
        <f>MAX(AH74,0)-AN74</f>
        <v/>
      </c>
      <c r="AP74" s="5">
        <f>AO74*_zk03a3*X74</f>
        <v/>
      </c>
      <c r="AQ74" s="5">
        <f>IF(A74=_zx5hja,_zk1wd3,0)</f>
        <v/>
      </c>
      <c r="AR74" s="5">
        <f>IF(B74,E74-_zkfhzg-M74-O74-F74+AQ74,0)</f>
        <v/>
      </c>
      <c r="AS74" s="5">
        <f>AR74-AG74</f>
        <v/>
      </c>
      <c r="AT74" s="5">
        <f>IF(B74,E74-_zkfhzg-M74-O74-F74-S74-AP74+AQ74-IF(AND(A74=_zx5hja,_z2al7i&gt;_zx5hja),U74,0),0)</f>
        <v/>
      </c>
      <c r="AU74" s="5">
        <f>AU73+AS74</f>
        <v/>
      </c>
      <c r="AV74" s="5">
        <f>IF(AND(AU73&lt;0,AU74&gt;=0,AS74&gt;0),1,0)</f>
        <v/>
      </c>
      <c r="AW74" s="5">
        <f>AS74/(1+_z1ltt4)^A74</f>
        <v/>
      </c>
      <c r="AX74" s="5">
        <f>AX73+AW74</f>
        <v/>
      </c>
      <c r="AY74" s="5">
        <f>IF(AND(AX73&lt;0,AX74&gt;=0,AW74&gt;0),1,0)</f>
        <v/>
      </c>
      <c r="AZ74" s="5">
        <f>(_z39asj+_zy2ig8)*C74</f>
        <v/>
      </c>
      <c r="BA74" s="5">
        <f>IF(B74,_zkfhzg+_zdd3mz+_z2y4dt+F74-AQ74,0)</f>
        <v/>
      </c>
      <c r="BB74" s="5">
        <f>IF(AR74=0,BB73,SIGN(AR74))</f>
        <v/>
      </c>
      <c r="BC74" s="5">
        <f>BC73+IF(OR(AR74=0,BB73=0),0,IF(SIGN(AR74)&lt;&gt;BB73,1,0))</f>
        <v/>
      </c>
      <c r="BD74" s="5">
        <f>IF(AS74=0,BD73,SIGN(AS74))</f>
        <v/>
      </c>
      <c r="BE74" s="5">
        <f>BE73+IF(OR(AS74=0,BD73=0),0,IF(SIGN(AS74)&lt;&gt;BD73,1,0))</f>
        <v/>
      </c>
      <c r="BF74" s="5">
        <f>IF(AT74=0,BF73,SIGN(AT74))</f>
        <v/>
      </c>
      <c r="BG74" s="5">
        <f>BG73+IF(OR(AT74=0,BF73=0),0,IF(SIGN(AT74)&lt;&gt;BF73,1,0))</f>
        <v/>
      </c>
    </row>
    <row r="75">
      <c r="A75" s="5" t="n">
        <v>11</v>
      </c>
      <c r="B75" s="5">
        <f>AND(A75&gt;=1,A75&lt;=_zx5hja)</f>
        <v/>
      </c>
      <c r="C75" s="5">
        <f>IF(B75,(1-_zecdlb)^(A75-1),0)</f>
        <v/>
      </c>
      <c r="D75" s="5">
        <f>(_zgk3lw+_z7m6d8)*C75</f>
        <v/>
      </c>
      <c r="E75" s="5">
        <f>IF(B75,D75+_zmztd5-_zdd3mz-_z2y4dt,0)</f>
        <v/>
      </c>
      <c r="F75" s="5">
        <f>IF(AND(B75,A75=_ztfkfy),_z4p8is*_zh30bl,0)</f>
        <v/>
      </c>
      <c r="G75" s="5">
        <f>F75*0.13/(1+0.13)</f>
        <v/>
      </c>
      <c r="H75" s="5">
        <f>F75-G75</f>
        <v/>
      </c>
      <c r="I75" s="5">
        <f>IF(B75,_z7m6d8*C75+_zz1w2z,0)</f>
        <v/>
      </c>
      <c r="J75" s="5">
        <f>I75/(1+0.13)</f>
        <v/>
      </c>
      <c r="K75" s="5">
        <f>I75-J75</f>
        <v/>
      </c>
      <c r="L75" s="5">
        <f>N74+G75</f>
        <v/>
      </c>
      <c r="M75" s="5">
        <f>MAX(0,K75-L75)</f>
        <v/>
      </c>
      <c r="N75" s="5">
        <f>MAX(0,L75-K75)</f>
        <v/>
      </c>
      <c r="O75" s="5">
        <f>M75*0.12</f>
        <v/>
      </c>
      <c r="P75" s="5">
        <f>E75-K75</f>
        <v/>
      </c>
      <c r="Q75" s="5">
        <f>U74</f>
        <v/>
      </c>
      <c r="R75" s="5">
        <f>IF(AND(B75,A75&lt;=_z2al7i),Q75*_zks9j8,0)</f>
        <v/>
      </c>
      <c r="S75" s="5">
        <f>IF(AND(B75,A75&lt;=_z2al7i),_zgsfrl,0)</f>
        <v/>
      </c>
      <c r="T75" s="5">
        <f>S75-R75</f>
        <v/>
      </c>
      <c r="U75" s="5">
        <f>MAX(0,Q75-T75)</f>
        <v/>
      </c>
      <c r="V75" s="5">
        <f>IF(AND(B75,A75&lt;=_zupe8l),_z0jo6h,0)</f>
        <v/>
      </c>
      <c r="W75" s="5">
        <f>IF((_zlt415="是"),IF(A75&lt;=3,0,IF(A75&lt;=6,0.5,1)),1)</f>
        <v/>
      </c>
      <c r="X75" s="5">
        <f>_zrzkf6*W75+(1-_zrzkf6)</f>
        <v/>
      </c>
      <c r="Y75" s="5">
        <f>IF(B75,P75-_zkfhzg-O75-V75-H75,0)</f>
        <v/>
      </c>
      <c r="Z75" s="5">
        <f>MAX(0,-Y74)</f>
        <v/>
      </c>
      <c r="AA75" s="5">
        <f>MIN(Z74,MAX(0,(AD74+AC74+AB74+AA74+Z74)-AE74))</f>
        <v/>
      </c>
      <c r="AB75" s="5">
        <f>MIN(AA74,MAX(0,(AD74+AC74+AB74+AA74)-AE74))</f>
        <v/>
      </c>
      <c r="AC75" s="5">
        <f>MIN(AB74,MAX(0,(AD74+AC74+AB74)-AE74))</f>
        <v/>
      </c>
      <c r="AD75" s="5">
        <f>MIN(AC74,MAX(0,(AD74+AC74)-AE74))</f>
        <v/>
      </c>
      <c r="AE75" s="5">
        <f>MIN(MAX(Y75,0),Z75+AA75+AB75+AC75+AD75)</f>
        <v/>
      </c>
      <c r="AF75" s="5">
        <f>MAX(Y75,0)-AE75</f>
        <v/>
      </c>
      <c r="AG75" s="5">
        <f>AF75*_zk03a3*X75</f>
        <v/>
      </c>
      <c r="AH75" s="5">
        <f>IF(B75,Y75-R75,0)</f>
        <v/>
      </c>
      <c r="AI75" s="5">
        <f>MAX(0,-AH74)</f>
        <v/>
      </c>
      <c r="AJ75" s="5">
        <f>MIN(AI74,MAX(0,(AM74+AL74+AK74+AJ74+AI74)-AN74))</f>
        <v/>
      </c>
      <c r="AK75" s="5">
        <f>MIN(AJ74,MAX(0,(AM74+AL74+AK74+AJ74)-AN74))</f>
        <v/>
      </c>
      <c r="AL75" s="5">
        <f>MIN(AK74,MAX(0,(AM74+AL74+AK74)-AN74))</f>
        <v/>
      </c>
      <c r="AM75" s="5">
        <f>MIN(AL74,MAX(0,(AM74+AL74)-AN74))</f>
        <v/>
      </c>
      <c r="AN75" s="5">
        <f>MIN(MAX(AH75,0),AI75+AJ75+AK75+AL75+AM75)</f>
        <v/>
      </c>
      <c r="AO75" s="5">
        <f>MAX(AH75,0)-AN75</f>
        <v/>
      </c>
      <c r="AP75" s="5">
        <f>AO75*_zk03a3*X75</f>
        <v/>
      </c>
      <c r="AQ75" s="5">
        <f>IF(A75=_zx5hja,_zk1wd3,0)</f>
        <v/>
      </c>
      <c r="AR75" s="5">
        <f>IF(B75,E75-_zkfhzg-M75-O75-F75+AQ75,0)</f>
        <v/>
      </c>
      <c r="AS75" s="5">
        <f>AR75-AG75</f>
        <v/>
      </c>
      <c r="AT75" s="5">
        <f>IF(B75,E75-_zkfhzg-M75-O75-F75-S75-AP75+AQ75-IF(AND(A75=_zx5hja,_z2al7i&gt;_zx5hja),U75,0),0)</f>
        <v/>
      </c>
      <c r="AU75" s="5">
        <f>AU74+AS75</f>
        <v/>
      </c>
      <c r="AV75" s="5">
        <f>IF(AND(AU74&lt;0,AU75&gt;=0,AS75&gt;0),1,0)</f>
        <v/>
      </c>
      <c r="AW75" s="5">
        <f>AS75/(1+_z1ltt4)^A75</f>
        <v/>
      </c>
      <c r="AX75" s="5">
        <f>AX74+AW75</f>
        <v/>
      </c>
      <c r="AY75" s="5">
        <f>IF(AND(AX74&lt;0,AX75&gt;=0,AW75&gt;0),1,0)</f>
        <v/>
      </c>
      <c r="AZ75" s="5">
        <f>(_z39asj+_zy2ig8)*C75</f>
        <v/>
      </c>
      <c r="BA75" s="5">
        <f>IF(B75,_zkfhzg+_zdd3mz+_z2y4dt+F75-AQ75,0)</f>
        <v/>
      </c>
      <c r="BB75" s="5">
        <f>IF(AR75=0,BB74,SIGN(AR75))</f>
        <v/>
      </c>
      <c r="BC75" s="5">
        <f>BC74+IF(OR(AR75=0,BB74=0),0,IF(SIGN(AR75)&lt;&gt;BB74,1,0))</f>
        <v/>
      </c>
      <c r="BD75" s="5">
        <f>IF(AS75=0,BD74,SIGN(AS75))</f>
        <v/>
      </c>
      <c r="BE75" s="5">
        <f>BE74+IF(OR(AS75=0,BD74=0),0,IF(SIGN(AS75)&lt;&gt;BD74,1,0))</f>
        <v/>
      </c>
      <c r="BF75" s="5">
        <f>IF(AT75=0,BF74,SIGN(AT75))</f>
        <v/>
      </c>
      <c r="BG75" s="5">
        <f>BG74+IF(OR(AT75=0,BF74=0),0,IF(SIGN(AT75)&lt;&gt;BF74,1,0))</f>
        <v/>
      </c>
    </row>
    <row r="76">
      <c r="A76" s="5" t="n">
        <v>12</v>
      </c>
      <c r="B76" s="5">
        <f>AND(A76&gt;=1,A76&lt;=_zx5hja)</f>
        <v/>
      </c>
      <c r="C76" s="5">
        <f>IF(B76,(1-_zecdlb)^(A76-1),0)</f>
        <v/>
      </c>
      <c r="D76" s="5">
        <f>(_zgk3lw+_z7m6d8)*C76</f>
        <v/>
      </c>
      <c r="E76" s="5">
        <f>IF(B76,D76+_zmztd5-_zdd3mz-_z2y4dt,0)</f>
        <v/>
      </c>
      <c r="F76" s="5">
        <f>IF(AND(B76,A76=_ztfkfy),_z4p8is*_zh30bl,0)</f>
        <v/>
      </c>
      <c r="G76" s="5">
        <f>F76*0.13/(1+0.13)</f>
        <v/>
      </c>
      <c r="H76" s="5">
        <f>F76-G76</f>
        <v/>
      </c>
      <c r="I76" s="5">
        <f>IF(B76,_z7m6d8*C76+_zz1w2z,0)</f>
        <v/>
      </c>
      <c r="J76" s="5">
        <f>I76/(1+0.13)</f>
        <v/>
      </c>
      <c r="K76" s="5">
        <f>I76-J76</f>
        <v/>
      </c>
      <c r="L76" s="5">
        <f>N75+G76</f>
        <v/>
      </c>
      <c r="M76" s="5">
        <f>MAX(0,K76-L76)</f>
        <v/>
      </c>
      <c r="N76" s="5">
        <f>MAX(0,L76-K76)</f>
        <v/>
      </c>
      <c r="O76" s="5">
        <f>M76*0.12</f>
        <v/>
      </c>
      <c r="P76" s="5">
        <f>E76-K76</f>
        <v/>
      </c>
      <c r="Q76" s="5">
        <f>U75</f>
        <v/>
      </c>
      <c r="R76" s="5">
        <f>IF(AND(B76,A76&lt;=_z2al7i),Q76*_zks9j8,0)</f>
        <v/>
      </c>
      <c r="S76" s="5">
        <f>IF(AND(B76,A76&lt;=_z2al7i),_zgsfrl,0)</f>
        <v/>
      </c>
      <c r="T76" s="5">
        <f>S76-R76</f>
        <v/>
      </c>
      <c r="U76" s="5">
        <f>MAX(0,Q76-T76)</f>
        <v/>
      </c>
      <c r="V76" s="5">
        <f>IF(AND(B76,A76&lt;=_zupe8l),_z0jo6h,0)</f>
        <v/>
      </c>
      <c r="W76" s="5">
        <f>IF((_zlt415="是"),IF(A76&lt;=3,0,IF(A76&lt;=6,0.5,1)),1)</f>
        <v/>
      </c>
      <c r="X76" s="5">
        <f>_zrzkf6*W76+(1-_zrzkf6)</f>
        <v/>
      </c>
      <c r="Y76" s="5">
        <f>IF(B76,P76-_zkfhzg-O76-V76-H76,0)</f>
        <v/>
      </c>
      <c r="Z76" s="5">
        <f>MAX(0,-Y75)</f>
        <v/>
      </c>
      <c r="AA76" s="5">
        <f>MIN(Z75,MAX(0,(AD75+AC75+AB75+AA75+Z75)-AE75))</f>
        <v/>
      </c>
      <c r="AB76" s="5">
        <f>MIN(AA75,MAX(0,(AD75+AC75+AB75+AA75)-AE75))</f>
        <v/>
      </c>
      <c r="AC76" s="5">
        <f>MIN(AB75,MAX(0,(AD75+AC75+AB75)-AE75))</f>
        <v/>
      </c>
      <c r="AD76" s="5">
        <f>MIN(AC75,MAX(0,(AD75+AC75)-AE75))</f>
        <v/>
      </c>
      <c r="AE76" s="5">
        <f>MIN(MAX(Y76,0),Z76+AA76+AB76+AC76+AD76)</f>
        <v/>
      </c>
      <c r="AF76" s="5">
        <f>MAX(Y76,0)-AE76</f>
        <v/>
      </c>
      <c r="AG76" s="5">
        <f>AF76*_zk03a3*X76</f>
        <v/>
      </c>
      <c r="AH76" s="5">
        <f>IF(B76,Y76-R76,0)</f>
        <v/>
      </c>
      <c r="AI76" s="5">
        <f>MAX(0,-AH75)</f>
        <v/>
      </c>
      <c r="AJ76" s="5">
        <f>MIN(AI75,MAX(0,(AM75+AL75+AK75+AJ75+AI75)-AN75))</f>
        <v/>
      </c>
      <c r="AK76" s="5">
        <f>MIN(AJ75,MAX(0,(AM75+AL75+AK75+AJ75)-AN75))</f>
        <v/>
      </c>
      <c r="AL76" s="5">
        <f>MIN(AK75,MAX(0,(AM75+AL75+AK75)-AN75))</f>
        <v/>
      </c>
      <c r="AM76" s="5">
        <f>MIN(AL75,MAX(0,(AM75+AL75)-AN75))</f>
        <v/>
      </c>
      <c r="AN76" s="5">
        <f>MIN(MAX(AH76,0),AI76+AJ76+AK76+AL76+AM76)</f>
        <v/>
      </c>
      <c r="AO76" s="5">
        <f>MAX(AH76,0)-AN76</f>
        <v/>
      </c>
      <c r="AP76" s="5">
        <f>AO76*_zk03a3*X76</f>
        <v/>
      </c>
      <c r="AQ76" s="5">
        <f>IF(A76=_zx5hja,_zk1wd3,0)</f>
        <v/>
      </c>
      <c r="AR76" s="5">
        <f>IF(B76,E76-_zkfhzg-M76-O76-F76+AQ76,0)</f>
        <v/>
      </c>
      <c r="AS76" s="5">
        <f>AR76-AG76</f>
        <v/>
      </c>
      <c r="AT76" s="5">
        <f>IF(B76,E76-_zkfhzg-M76-O76-F76-S76-AP76+AQ76-IF(AND(A76=_zx5hja,_z2al7i&gt;_zx5hja),U76,0),0)</f>
        <v/>
      </c>
      <c r="AU76" s="5">
        <f>AU75+AS76</f>
        <v/>
      </c>
      <c r="AV76" s="5">
        <f>IF(AND(AU75&lt;0,AU76&gt;=0,AS76&gt;0),1,0)</f>
        <v/>
      </c>
      <c r="AW76" s="5">
        <f>AS76/(1+_z1ltt4)^A76</f>
        <v/>
      </c>
      <c r="AX76" s="5">
        <f>AX75+AW76</f>
        <v/>
      </c>
      <c r="AY76" s="5">
        <f>IF(AND(AX75&lt;0,AX76&gt;=0,AW76&gt;0),1,0)</f>
        <v/>
      </c>
      <c r="AZ76" s="5">
        <f>(_z39asj+_zy2ig8)*C76</f>
        <v/>
      </c>
      <c r="BA76" s="5">
        <f>IF(B76,_zkfhzg+_zdd3mz+_z2y4dt+F76-AQ76,0)</f>
        <v/>
      </c>
      <c r="BB76" s="5">
        <f>IF(AR76=0,BB75,SIGN(AR76))</f>
        <v/>
      </c>
      <c r="BC76" s="5">
        <f>BC75+IF(OR(AR76=0,BB75=0),0,IF(SIGN(AR76)&lt;&gt;BB75,1,0))</f>
        <v/>
      </c>
      <c r="BD76" s="5">
        <f>IF(AS76=0,BD75,SIGN(AS76))</f>
        <v/>
      </c>
      <c r="BE76" s="5">
        <f>BE75+IF(OR(AS76=0,BD75=0),0,IF(SIGN(AS76)&lt;&gt;BD75,1,0))</f>
        <v/>
      </c>
      <c r="BF76" s="5">
        <f>IF(AT76=0,BF75,SIGN(AT76))</f>
        <v/>
      </c>
      <c r="BG76" s="5">
        <f>BG75+IF(OR(AT76=0,BF75=0),0,IF(SIGN(AT76)&lt;&gt;BF75,1,0))</f>
        <v/>
      </c>
    </row>
    <row r="77">
      <c r="A77" s="5" t="n">
        <v>13</v>
      </c>
      <c r="B77" s="5">
        <f>AND(A77&gt;=1,A77&lt;=_zx5hja)</f>
        <v/>
      </c>
      <c r="C77" s="5">
        <f>IF(B77,(1-_zecdlb)^(A77-1),0)</f>
        <v/>
      </c>
      <c r="D77" s="5">
        <f>(_zgk3lw+_z7m6d8)*C77</f>
        <v/>
      </c>
      <c r="E77" s="5">
        <f>IF(B77,D77+_zmztd5-_zdd3mz-_z2y4dt,0)</f>
        <v/>
      </c>
      <c r="F77" s="5">
        <f>IF(AND(B77,A77=_ztfkfy),_z4p8is*_zh30bl,0)</f>
        <v/>
      </c>
      <c r="G77" s="5">
        <f>F77*0.13/(1+0.13)</f>
        <v/>
      </c>
      <c r="H77" s="5">
        <f>F77-G77</f>
        <v/>
      </c>
      <c r="I77" s="5">
        <f>IF(B77,_z7m6d8*C77+_zz1w2z,0)</f>
        <v/>
      </c>
      <c r="J77" s="5">
        <f>I77/(1+0.13)</f>
        <v/>
      </c>
      <c r="K77" s="5">
        <f>I77-J77</f>
        <v/>
      </c>
      <c r="L77" s="5">
        <f>N76+G77</f>
        <v/>
      </c>
      <c r="M77" s="5">
        <f>MAX(0,K77-L77)</f>
        <v/>
      </c>
      <c r="N77" s="5">
        <f>MAX(0,L77-K77)</f>
        <v/>
      </c>
      <c r="O77" s="5">
        <f>M77*0.12</f>
        <v/>
      </c>
      <c r="P77" s="5">
        <f>E77-K77</f>
        <v/>
      </c>
      <c r="Q77" s="5">
        <f>U76</f>
        <v/>
      </c>
      <c r="R77" s="5">
        <f>IF(AND(B77,A77&lt;=_z2al7i),Q77*_zks9j8,0)</f>
        <v/>
      </c>
      <c r="S77" s="5">
        <f>IF(AND(B77,A77&lt;=_z2al7i),_zgsfrl,0)</f>
        <v/>
      </c>
      <c r="T77" s="5">
        <f>S77-R77</f>
        <v/>
      </c>
      <c r="U77" s="5">
        <f>MAX(0,Q77-T77)</f>
        <v/>
      </c>
      <c r="V77" s="5">
        <f>IF(AND(B77,A77&lt;=_zupe8l),_z0jo6h,0)</f>
        <v/>
      </c>
      <c r="W77" s="5">
        <f>IF((_zlt415="是"),IF(A77&lt;=3,0,IF(A77&lt;=6,0.5,1)),1)</f>
        <v/>
      </c>
      <c r="X77" s="5">
        <f>_zrzkf6*W77+(1-_zrzkf6)</f>
        <v/>
      </c>
      <c r="Y77" s="5">
        <f>IF(B77,P77-_zkfhzg-O77-V77-H77,0)</f>
        <v/>
      </c>
      <c r="Z77" s="5">
        <f>MAX(0,-Y76)</f>
        <v/>
      </c>
      <c r="AA77" s="5">
        <f>MIN(Z76,MAX(0,(AD76+AC76+AB76+AA76+Z76)-AE76))</f>
        <v/>
      </c>
      <c r="AB77" s="5">
        <f>MIN(AA76,MAX(0,(AD76+AC76+AB76+AA76)-AE76))</f>
        <v/>
      </c>
      <c r="AC77" s="5">
        <f>MIN(AB76,MAX(0,(AD76+AC76+AB76)-AE76))</f>
        <v/>
      </c>
      <c r="AD77" s="5">
        <f>MIN(AC76,MAX(0,(AD76+AC76)-AE76))</f>
        <v/>
      </c>
      <c r="AE77" s="5">
        <f>MIN(MAX(Y77,0),Z77+AA77+AB77+AC77+AD77)</f>
        <v/>
      </c>
      <c r="AF77" s="5">
        <f>MAX(Y77,0)-AE77</f>
        <v/>
      </c>
      <c r="AG77" s="5">
        <f>AF77*_zk03a3*X77</f>
        <v/>
      </c>
      <c r="AH77" s="5">
        <f>IF(B77,Y77-R77,0)</f>
        <v/>
      </c>
      <c r="AI77" s="5">
        <f>MAX(0,-AH76)</f>
        <v/>
      </c>
      <c r="AJ77" s="5">
        <f>MIN(AI76,MAX(0,(AM76+AL76+AK76+AJ76+AI76)-AN76))</f>
        <v/>
      </c>
      <c r="AK77" s="5">
        <f>MIN(AJ76,MAX(0,(AM76+AL76+AK76+AJ76)-AN76))</f>
        <v/>
      </c>
      <c r="AL77" s="5">
        <f>MIN(AK76,MAX(0,(AM76+AL76+AK76)-AN76))</f>
        <v/>
      </c>
      <c r="AM77" s="5">
        <f>MIN(AL76,MAX(0,(AM76+AL76)-AN76))</f>
        <v/>
      </c>
      <c r="AN77" s="5">
        <f>MIN(MAX(AH77,0),AI77+AJ77+AK77+AL77+AM77)</f>
        <v/>
      </c>
      <c r="AO77" s="5">
        <f>MAX(AH77,0)-AN77</f>
        <v/>
      </c>
      <c r="AP77" s="5">
        <f>AO77*_zk03a3*X77</f>
        <v/>
      </c>
      <c r="AQ77" s="5">
        <f>IF(A77=_zx5hja,_zk1wd3,0)</f>
        <v/>
      </c>
      <c r="AR77" s="5">
        <f>IF(B77,E77-_zkfhzg-M77-O77-F77+AQ77,0)</f>
        <v/>
      </c>
      <c r="AS77" s="5">
        <f>AR77-AG77</f>
        <v/>
      </c>
      <c r="AT77" s="5">
        <f>IF(B77,E77-_zkfhzg-M77-O77-F77-S77-AP77+AQ77-IF(AND(A77=_zx5hja,_z2al7i&gt;_zx5hja),U77,0),0)</f>
        <v/>
      </c>
      <c r="AU77" s="5">
        <f>AU76+AS77</f>
        <v/>
      </c>
      <c r="AV77" s="5">
        <f>IF(AND(AU76&lt;0,AU77&gt;=0,AS77&gt;0),1,0)</f>
        <v/>
      </c>
      <c r="AW77" s="5">
        <f>AS77/(1+_z1ltt4)^A77</f>
        <v/>
      </c>
      <c r="AX77" s="5">
        <f>AX76+AW77</f>
        <v/>
      </c>
      <c r="AY77" s="5">
        <f>IF(AND(AX76&lt;0,AX77&gt;=0,AW77&gt;0),1,0)</f>
        <v/>
      </c>
      <c r="AZ77" s="5">
        <f>(_z39asj+_zy2ig8)*C77</f>
        <v/>
      </c>
      <c r="BA77" s="5">
        <f>IF(B77,_zkfhzg+_zdd3mz+_z2y4dt+F77-AQ77,0)</f>
        <v/>
      </c>
      <c r="BB77" s="5">
        <f>IF(AR77=0,BB76,SIGN(AR77))</f>
        <v/>
      </c>
      <c r="BC77" s="5">
        <f>BC76+IF(OR(AR77=0,BB76=0),0,IF(SIGN(AR77)&lt;&gt;BB76,1,0))</f>
        <v/>
      </c>
      <c r="BD77" s="5">
        <f>IF(AS77=0,BD76,SIGN(AS77))</f>
        <v/>
      </c>
      <c r="BE77" s="5">
        <f>BE76+IF(OR(AS77=0,BD76=0),0,IF(SIGN(AS77)&lt;&gt;BD76,1,0))</f>
        <v/>
      </c>
      <c r="BF77" s="5">
        <f>IF(AT77=0,BF76,SIGN(AT77))</f>
        <v/>
      </c>
      <c r="BG77" s="5">
        <f>BG76+IF(OR(AT77=0,BF76=0),0,IF(SIGN(AT77)&lt;&gt;BF76,1,0))</f>
        <v/>
      </c>
    </row>
    <row r="78">
      <c r="A78" s="5" t="n">
        <v>14</v>
      </c>
      <c r="B78" s="5">
        <f>AND(A78&gt;=1,A78&lt;=_zx5hja)</f>
        <v/>
      </c>
      <c r="C78" s="5">
        <f>IF(B78,(1-_zecdlb)^(A78-1),0)</f>
        <v/>
      </c>
      <c r="D78" s="5">
        <f>(_zgk3lw+_z7m6d8)*C78</f>
        <v/>
      </c>
      <c r="E78" s="5">
        <f>IF(B78,D78+_zmztd5-_zdd3mz-_z2y4dt,0)</f>
        <v/>
      </c>
      <c r="F78" s="5">
        <f>IF(AND(B78,A78=_ztfkfy),_z4p8is*_zh30bl,0)</f>
        <v/>
      </c>
      <c r="G78" s="5">
        <f>F78*0.13/(1+0.13)</f>
        <v/>
      </c>
      <c r="H78" s="5">
        <f>F78-G78</f>
        <v/>
      </c>
      <c r="I78" s="5">
        <f>IF(B78,_z7m6d8*C78+_zz1w2z,0)</f>
        <v/>
      </c>
      <c r="J78" s="5">
        <f>I78/(1+0.13)</f>
        <v/>
      </c>
      <c r="K78" s="5">
        <f>I78-J78</f>
        <v/>
      </c>
      <c r="L78" s="5">
        <f>N77+G78</f>
        <v/>
      </c>
      <c r="M78" s="5">
        <f>MAX(0,K78-L78)</f>
        <v/>
      </c>
      <c r="N78" s="5">
        <f>MAX(0,L78-K78)</f>
        <v/>
      </c>
      <c r="O78" s="5">
        <f>M78*0.12</f>
        <v/>
      </c>
      <c r="P78" s="5">
        <f>E78-K78</f>
        <v/>
      </c>
      <c r="Q78" s="5">
        <f>U77</f>
        <v/>
      </c>
      <c r="R78" s="5">
        <f>IF(AND(B78,A78&lt;=_z2al7i),Q78*_zks9j8,0)</f>
        <v/>
      </c>
      <c r="S78" s="5">
        <f>IF(AND(B78,A78&lt;=_z2al7i),_zgsfrl,0)</f>
        <v/>
      </c>
      <c r="T78" s="5">
        <f>S78-R78</f>
        <v/>
      </c>
      <c r="U78" s="5">
        <f>MAX(0,Q78-T78)</f>
        <v/>
      </c>
      <c r="V78" s="5">
        <f>IF(AND(B78,A78&lt;=_zupe8l),_z0jo6h,0)</f>
        <v/>
      </c>
      <c r="W78" s="5">
        <f>IF((_zlt415="是"),IF(A78&lt;=3,0,IF(A78&lt;=6,0.5,1)),1)</f>
        <v/>
      </c>
      <c r="X78" s="5">
        <f>_zrzkf6*W78+(1-_zrzkf6)</f>
        <v/>
      </c>
      <c r="Y78" s="5">
        <f>IF(B78,P78-_zkfhzg-O78-V78-H78,0)</f>
        <v/>
      </c>
      <c r="Z78" s="5">
        <f>MAX(0,-Y77)</f>
        <v/>
      </c>
      <c r="AA78" s="5">
        <f>MIN(Z77,MAX(0,(AD77+AC77+AB77+AA77+Z77)-AE77))</f>
        <v/>
      </c>
      <c r="AB78" s="5">
        <f>MIN(AA77,MAX(0,(AD77+AC77+AB77+AA77)-AE77))</f>
        <v/>
      </c>
      <c r="AC78" s="5">
        <f>MIN(AB77,MAX(0,(AD77+AC77+AB77)-AE77))</f>
        <v/>
      </c>
      <c r="AD78" s="5">
        <f>MIN(AC77,MAX(0,(AD77+AC77)-AE77))</f>
        <v/>
      </c>
      <c r="AE78" s="5">
        <f>MIN(MAX(Y78,0),Z78+AA78+AB78+AC78+AD78)</f>
        <v/>
      </c>
      <c r="AF78" s="5">
        <f>MAX(Y78,0)-AE78</f>
        <v/>
      </c>
      <c r="AG78" s="5">
        <f>AF78*_zk03a3*X78</f>
        <v/>
      </c>
      <c r="AH78" s="5">
        <f>IF(B78,Y78-R78,0)</f>
        <v/>
      </c>
      <c r="AI78" s="5">
        <f>MAX(0,-AH77)</f>
        <v/>
      </c>
      <c r="AJ78" s="5">
        <f>MIN(AI77,MAX(0,(AM77+AL77+AK77+AJ77+AI77)-AN77))</f>
        <v/>
      </c>
      <c r="AK78" s="5">
        <f>MIN(AJ77,MAX(0,(AM77+AL77+AK77+AJ77)-AN77))</f>
        <v/>
      </c>
      <c r="AL78" s="5">
        <f>MIN(AK77,MAX(0,(AM77+AL77+AK77)-AN77))</f>
        <v/>
      </c>
      <c r="AM78" s="5">
        <f>MIN(AL77,MAX(0,(AM77+AL77)-AN77))</f>
        <v/>
      </c>
      <c r="AN78" s="5">
        <f>MIN(MAX(AH78,0),AI78+AJ78+AK78+AL78+AM78)</f>
        <v/>
      </c>
      <c r="AO78" s="5">
        <f>MAX(AH78,0)-AN78</f>
        <v/>
      </c>
      <c r="AP78" s="5">
        <f>AO78*_zk03a3*X78</f>
        <v/>
      </c>
      <c r="AQ78" s="5">
        <f>IF(A78=_zx5hja,_zk1wd3,0)</f>
        <v/>
      </c>
      <c r="AR78" s="5">
        <f>IF(B78,E78-_zkfhzg-M78-O78-F78+AQ78,0)</f>
        <v/>
      </c>
      <c r="AS78" s="5">
        <f>AR78-AG78</f>
        <v/>
      </c>
      <c r="AT78" s="5">
        <f>IF(B78,E78-_zkfhzg-M78-O78-F78-S78-AP78+AQ78-IF(AND(A78=_zx5hja,_z2al7i&gt;_zx5hja),U78,0),0)</f>
        <v/>
      </c>
      <c r="AU78" s="5">
        <f>AU77+AS78</f>
        <v/>
      </c>
      <c r="AV78" s="5">
        <f>IF(AND(AU77&lt;0,AU78&gt;=0,AS78&gt;0),1,0)</f>
        <v/>
      </c>
      <c r="AW78" s="5">
        <f>AS78/(1+_z1ltt4)^A78</f>
        <v/>
      </c>
      <c r="AX78" s="5">
        <f>AX77+AW78</f>
        <v/>
      </c>
      <c r="AY78" s="5">
        <f>IF(AND(AX77&lt;0,AX78&gt;=0,AW78&gt;0),1,0)</f>
        <v/>
      </c>
      <c r="AZ78" s="5">
        <f>(_z39asj+_zy2ig8)*C78</f>
        <v/>
      </c>
      <c r="BA78" s="5">
        <f>IF(B78,_zkfhzg+_zdd3mz+_z2y4dt+F78-AQ78,0)</f>
        <v/>
      </c>
      <c r="BB78" s="5">
        <f>IF(AR78=0,BB77,SIGN(AR78))</f>
        <v/>
      </c>
      <c r="BC78" s="5">
        <f>BC77+IF(OR(AR78=0,BB77=0),0,IF(SIGN(AR78)&lt;&gt;BB77,1,0))</f>
        <v/>
      </c>
      <c r="BD78" s="5">
        <f>IF(AS78=0,BD77,SIGN(AS78))</f>
        <v/>
      </c>
      <c r="BE78" s="5">
        <f>BE77+IF(OR(AS78=0,BD77=0),0,IF(SIGN(AS78)&lt;&gt;BD77,1,0))</f>
        <v/>
      </c>
      <c r="BF78" s="5">
        <f>IF(AT78=0,BF77,SIGN(AT78))</f>
        <v/>
      </c>
      <c r="BG78" s="5">
        <f>BG77+IF(OR(AT78=0,BF77=0),0,IF(SIGN(AT78)&lt;&gt;BF77,1,0))</f>
        <v/>
      </c>
    </row>
    <row r="79">
      <c r="A79" s="5" t="n">
        <v>15</v>
      </c>
      <c r="B79" s="5">
        <f>AND(A79&gt;=1,A79&lt;=_zx5hja)</f>
        <v/>
      </c>
      <c r="C79" s="5">
        <f>IF(B79,(1-_zecdlb)^(A79-1),0)</f>
        <v/>
      </c>
      <c r="D79" s="5">
        <f>(_zgk3lw+_z7m6d8)*C79</f>
        <v/>
      </c>
      <c r="E79" s="5">
        <f>IF(B79,D79+_zmztd5-_zdd3mz-_z2y4dt,0)</f>
        <v/>
      </c>
      <c r="F79" s="5">
        <f>IF(AND(B79,A79=_ztfkfy),_z4p8is*_zh30bl,0)</f>
        <v/>
      </c>
      <c r="G79" s="5">
        <f>F79*0.13/(1+0.13)</f>
        <v/>
      </c>
      <c r="H79" s="5">
        <f>F79-G79</f>
        <v/>
      </c>
      <c r="I79" s="5">
        <f>IF(B79,_z7m6d8*C79+_zz1w2z,0)</f>
        <v/>
      </c>
      <c r="J79" s="5">
        <f>I79/(1+0.13)</f>
        <v/>
      </c>
      <c r="K79" s="5">
        <f>I79-J79</f>
        <v/>
      </c>
      <c r="L79" s="5">
        <f>N78+G79</f>
        <v/>
      </c>
      <c r="M79" s="5">
        <f>MAX(0,K79-L79)</f>
        <v/>
      </c>
      <c r="N79" s="5">
        <f>MAX(0,L79-K79)</f>
        <v/>
      </c>
      <c r="O79" s="5">
        <f>M79*0.12</f>
        <v/>
      </c>
      <c r="P79" s="5">
        <f>E79-K79</f>
        <v/>
      </c>
      <c r="Q79" s="5">
        <f>U78</f>
        <v/>
      </c>
      <c r="R79" s="5">
        <f>IF(AND(B79,A79&lt;=_z2al7i),Q79*_zks9j8,0)</f>
        <v/>
      </c>
      <c r="S79" s="5">
        <f>IF(AND(B79,A79&lt;=_z2al7i),_zgsfrl,0)</f>
        <v/>
      </c>
      <c r="T79" s="5">
        <f>S79-R79</f>
        <v/>
      </c>
      <c r="U79" s="5">
        <f>MAX(0,Q79-T79)</f>
        <v/>
      </c>
      <c r="V79" s="5">
        <f>IF(AND(B79,A79&lt;=_zupe8l),_z0jo6h,0)</f>
        <v/>
      </c>
      <c r="W79" s="5">
        <f>IF((_zlt415="是"),IF(A79&lt;=3,0,IF(A79&lt;=6,0.5,1)),1)</f>
        <v/>
      </c>
      <c r="X79" s="5">
        <f>_zrzkf6*W79+(1-_zrzkf6)</f>
        <v/>
      </c>
      <c r="Y79" s="5">
        <f>IF(B79,P79-_zkfhzg-O79-V79-H79,0)</f>
        <v/>
      </c>
      <c r="Z79" s="5">
        <f>MAX(0,-Y78)</f>
        <v/>
      </c>
      <c r="AA79" s="5">
        <f>MIN(Z78,MAX(0,(AD78+AC78+AB78+AA78+Z78)-AE78))</f>
        <v/>
      </c>
      <c r="AB79" s="5">
        <f>MIN(AA78,MAX(0,(AD78+AC78+AB78+AA78)-AE78))</f>
        <v/>
      </c>
      <c r="AC79" s="5">
        <f>MIN(AB78,MAX(0,(AD78+AC78+AB78)-AE78))</f>
        <v/>
      </c>
      <c r="AD79" s="5">
        <f>MIN(AC78,MAX(0,(AD78+AC78)-AE78))</f>
        <v/>
      </c>
      <c r="AE79" s="5">
        <f>MIN(MAX(Y79,0),Z79+AA79+AB79+AC79+AD79)</f>
        <v/>
      </c>
      <c r="AF79" s="5">
        <f>MAX(Y79,0)-AE79</f>
        <v/>
      </c>
      <c r="AG79" s="5">
        <f>AF79*_zk03a3*X79</f>
        <v/>
      </c>
      <c r="AH79" s="5">
        <f>IF(B79,Y79-R79,0)</f>
        <v/>
      </c>
      <c r="AI79" s="5">
        <f>MAX(0,-AH78)</f>
        <v/>
      </c>
      <c r="AJ79" s="5">
        <f>MIN(AI78,MAX(0,(AM78+AL78+AK78+AJ78+AI78)-AN78))</f>
        <v/>
      </c>
      <c r="AK79" s="5">
        <f>MIN(AJ78,MAX(0,(AM78+AL78+AK78+AJ78)-AN78))</f>
        <v/>
      </c>
      <c r="AL79" s="5">
        <f>MIN(AK78,MAX(0,(AM78+AL78+AK78)-AN78))</f>
        <v/>
      </c>
      <c r="AM79" s="5">
        <f>MIN(AL78,MAX(0,(AM78+AL78)-AN78))</f>
        <v/>
      </c>
      <c r="AN79" s="5">
        <f>MIN(MAX(AH79,0),AI79+AJ79+AK79+AL79+AM79)</f>
        <v/>
      </c>
      <c r="AO79" s="5">
        <f>MAX(AH79,0)-AN79</f>
        <v/>
      </c>
      <c r="AP79" s="5">
        <f>AO79*_zk03a3*X79</f>
        <v/>
      </c>
      <c r="AQ79" s="5">
        <f>IF(A79=_zx5hja,_zk1wd3,0)</f>
        <v/>
      </c>
      <c r="AR79" s="5">
        <f>IF(B79,E79-_zkfhzg-M79-O79-F79+AQ79,0)</f>
        <v/>
      </c>
      <c r="AS79" s="5">
        <f>AR79-AG79</f>
        <v/>
      </c>
      <c r="AT79" s="5">
        <f>IF(B79,E79-_zkfhzg-M79-O79-F79-S79-AP79+AQ79-IF(AND(A79=_zx5hja,_z2al7i&gt;_zx5hja),U79,0),0)</f>
        <v/>
      </c>
      <c r="AU79" s="5">
        <f>AU78+AS79</f>
        <v/>
      </c>
      <c r="AV79" s="5">
        <f>IF(AND(AU78&lt;0,AU79&gt;=0,AS79&gt;0),1,0)</f>
        <v/>
      </c>
      <c r="AW79" s="5">
        <f>AS79/(1+_z1ltt4)^A79</f>
        <v/>
      </c>
      <c r="AX79" s="5">
        <f>AX78+AW79</f>
        <v/>
      </c>
      <c r="AY79" s="5">
        <f>IF(AND(AX78&lt;0,AX79&gt;=0,AW79&gt;0),1,0)</f>
        <v/>
      </c>
      <c r="AZ79" s="5">
        <f>(_z39asj+_zy2ig8)*C79</f>
        <v/>
      </c>
      <c r="BA79" s="5">
        <f>IF(B79,_zkfhzg+_zdd3mz+_z2y4dt+F79-AQ79,0)</f>
        <v/>
      </c>
      <c r="BB79" s="5">
        <f>IF(AR79=0,BB78,SIGN(AR79))</f>
        <v/>
      </c>
      <c r="BC79" s="5">
        <f>BC78+IF(OR(AR79=0,BB78=0),0,IF(SIGN(AR79)&lt;&gt;BB78,1,0))</f>
        <v/>
      </c>
      <c r="BD79" s="5">
        <f>IF(AS79=0,BD78,SIGN(AS79))</f>
        <v/>
      </c>
      <c r="BE79" s="5">
        <f>BE78+IF(OR(AS79=0,BD78=0),0,IF(SIGN(AS79)&lt;&gt;BD78,1,0))</f>
        <v/>
      </c>
      <c r="BF79" s="5">
        <f>IF(AT79=0,BF78,SIGN(AT79))</f>
        <v/>
      </c>
      <c r="BG79" s="5">
        <f>BG78+IF(OR(AT79=0,BF78=0),0,IF(SIGN(AT79)&lt;&gt;BF78,1,0))</f>
        <v/>
      </c>
    </row>
    <row r="80">
      <c r="A80" s="5" t="n">
        <v>16</v>
      </c>
      <c r="B80" s="5">
        <f>AND(A80&gt;=1,A80&lt;=_zx5hja)</f>
        <v/>
      </c>
      <c r="C80" s="5">
        <f>IF(B80,(1-_zecdlb)^(A80-1),0)</f>
        <v/>
      </c>
      <c r="D80" s="5">
        <f>(_zgk3lw+_z7m6d8)*C80</f>
        <v/>
      </c>
      <c r="E80" s="5">
        <f>IF(B80,D80+_zmztd5-_zdd3mz-_z2y4dt,0)</f>
        <v/>
      </c>
      <c r="F80" s="5">
        <f>IF(AND(B80,A80=_ztfkfy),_z4p8is*_zh30bl,0)</f>
        <v/>
      </c>
      <c r="G80" s="5">
        <f>F80*0.13/(1+0.13)</f>
        <v/>
      </c>
      <c r="H80" s="5">
        <f>F80-G80</f>
        <v/>
      </c>
      <c r="I80" s="5">
        <f>IF(B80,_z7m6d8*C80+_zz1w2z,0)</f>
        <v/>
      </c>
      <c r="J80" s="5">
        <f>I80/(1+0.13)</f>
        <v/>
      </c>
      <c r="K80" s="5">
        <f>I80-J80</f>
        <v/>
      </c>
      <c r="L80" s="5">
        <f>N79+G80</f>
        <v/>
      </c>
      <c r="M80" s="5">
        <f>MAX(0,K80-L80)</f>
        <v/>
      </c>
      <c r="N80" s="5">
        <f>MAX(0,L80-K80)</f>
        <v/>
      </c>
      <c r="O80" s="5">
        <f>M80*0.12</f>
        <v/>
      </c>
      <c r="P80" s="5">
        <f>E80-K80</f>
        <v/>
      </c>
      <c r="Q80" s="5">
        <f>U79</f>
        <v/>
      </c>
      <c r="R80" s="5">
        <f>IF(AND(B80,A80&lt;=_z2al7i),Q80*_zks9j8,0)</f>
        <v/>
      </c>
      <c r="S80" s="5">
        <f>IF(AND(B80,A80&lt;=_z2al7i),_zgsfrl,0)</f>
        <v/>
      </c>
      <c r="T80" s="5">
        <f>S80-R80</f>
        <v/>
      </c>
      <c r="U80" s="5">
        <f>MAX(0,Q80-T80)</f>
        <v/>
      </c>
      <c r="V80" s="5">
        <f>IF(AND(B80,A80&lt;=_zupe8l),_z0jo6h,0)</f>
        <v/>
      </c>
      <c r="W80" s="5">
        <f>IF((_zlt415="是"),IF(A80&lt;=3,0,IF(A80&lt;=6,0.5,1)),1)</f>
        <v/>
      </c>
      <c r="X80" s="5">
        <f>_zrzkf6*W80+(1-_zrzkf6)</f>
        <v/>
      </c>
      <c r="Y80" s="5">
        <f>IF(B80,P80-_zkfhzg-O80-V80-H80,0)</f>
        <v/>
      </c>
      <c r="Z80" s="5">
        <f>MAX(0,-Y79)</f>
        <v/>
      </c>
      <c r="AA80" s="5">
        <f>MIN(Z79,MAX(0,(AD79+AC79+AB79+AA79+Z79)-AE79))</f>
        <v/>
      </c>
      <c r="AB80" s="5">
        <f>MIN(AA79,MAX(0,(AD79+AC79+AB79+AA79)-AE79))</f>
        <v/>
      </c>
      <c r="AC80" s="5">
        <f>MIN(AB79,MAX(0,(AD79+AC79+AB79)-AE79))</f>
        <v/>
      </c>
      <c r="AD80" s="5">
        <f>MIN(AC79,MAX(0,(AD79+AC79)-AE79))</f>
        <v/>
      </c>
      <c r="AE80" s="5">
        <f>MIN(MAX(Y80,0),Z80+AA80+AB80+AC80+AD80)</f>
        <v/>
      </c>
      <c r="AF80" s="5">
        <f>MAX(Y80,0)-AE80</f>
        <v/>
      </c>
      <c r="AG80" s="5">
        <f>AF80*_zk03a3*X80</f>
        <v/>
      </c>
      <c r="AH80" s="5">
        <f>IF(B80,Y80-R80,0)</f>
        <v/>
      </c>
      <c r="AI80" s="5">
        <f>MAX(0,-AH79)</f>
        <v/>
      </c>
      <c r="AJ80" s="5">
        <f>MIN(AI79,MAX(0,(AM79+AL79+AK79+AJ79+AI79)-AN79))</f>
        <v/>
      </c>
      <c r="AK80" s="5">
        <f>MIN(AJ79,MAX(0,(AM79+AL79+AK79+AJ79)-AN79))</f>
        <v/>
      </c>
      <c r="AL80" s="5">
        <f>MIN(AK79,MAX(0,(AM79+AL79+AK79)-AN79))</f>
        <v/>
      </c>
      <c r="AM80" s="5">
        <f>MIN(AL79,MAX(0,(AM79+AL79)-AN79))</f>
        <v/>
      </c>
      <c r="AN80" s="5">
        <f>MIN(MAX(AH80,0),AI80+AJ80+AK80+AL80+AM80)</f>
        <v/>
      </c>
      <c r="AO80" s="5">
        <f>MAX(AH80,0)-AN80</f>
        <v/>
      </c>
      <c r="AP80" s="5">
        <f>AO80*_zk03a3*X80</f>
        <v/>
      </c>
      <c r="AQ80" s="5">
        <f>IF(A80=_zx5hja,_zk1wd3,0)</f>
        <v/>
      </c>
      <c r="AR80" s="5">
        <f>IF(B80,E80-_zkfhzg-M80-O80-F80+AQ80,0)</f>
        <v/>
      </c>
      <c r="AS80" s="5">
        <f>AR80-AG80</f>
        <v/>
      </c>
      <c r="AT80" s="5">
        <f>IF(B80,E80-_zkfhzg-M80-O80-F80-S80-AP80+AQ80-IF(AND(A80=_zx5hja,_z2al7i&gt;_zx5hja),U80,0),0)</f>
        <v/>
      </c>
      <c r="AU80" s="5">
        <f>AU79+AS80</f>
        <v/>
      </c>
      <c r="AV80" s="5">
        <f>IF(AND(AU79&lt;0,AU80&gt;=0,AS80&gt;0),1,0)</f>
        <v/>
      </c>
      <c r="AW80" s="5">
        <f>AS80/(1+_z1ltt4)^A80</f>
        <v/>
      </c>
      <c r="AX80" s="5">
        <f>AX79+AW80</f>
        <v/>
      </c>
      <c r="AY80" s="5">
        <f>IF(AND(AX79&lt;0,AX80&gt;=0,AW80&gt;0),1,0)</f>
        <v/>
      </c>
      <c r="AZ80" s="5">
        <f>(_z39asj+_zy2ig8)*C80</f>
        <v/>
      </c>
      <c r="BA80" s="5">
        <f>IF(B80,_zkfhzg+_zdd3mz+_z2y4dt+F80-AQ80,0)</f>
        <v/>
      </c>
      <c r="BB80" s="5">
        <f>IF(AR80=0,BB79,SIGN(AR80))</f>
        <v/>
      </c>
      <c r="BC80" s="5">
        <f>BC79+IF(OR(AR80=0,BB79=0),0,IF(SIGN(AR80)&lt;&gt;BB79,1,0))</f>
        <v/>
      </c>
      <c r="BD80" s="5">
        <f>IF(AS80=0,BD79,SIGN(AS80))</f>
        <v/>
      </c>
      <c r="BE80" s="5">
        <f>BE79+IF(OR(AS80=0,BD79=0),0,IF(SIGN(AS80)&lt;&gt;BD79,1,0))</f>
        <v/>
      </c>
      <c r="BF80" s="5">
        <f>IF(AT80=0,BF79,SIGN(AT80))</f>
        <v/>
      </c>
      <c r="BG80" s="5">
        <f>BG79+IF(OR(AT80=0,BF79=0),0,IF(SIGN(AT80)&lt;&gt;BF79,1,0))</f>
        <v/>
      </c>
    </row>
    <row r="81">
      <c r="A81" s="5" t="n">
        <v>17</v>
      </c>
      <c r="B81" s="5">
        <f>AND(A81&gt;=1,A81&lt;=_zx5hja)</f>
        <v/>
      </c>
      <c r="C81" s="5">
        <f>IF(B81,(1-_zecdlb)^(A81-1),0)</f>
        <v/>
      </c>
      <c r="D81" s="5">
        <f>(_zgk3lw+_z7m6d8)*C81</f>
        <v/>
      </c>
      <c r="E81" s="5">
        <f>IF(B81,D81+_zmztd5-_zdd3mz-_z2y4dt,0)</f>
        <v/>
      </c>
      <c r="F81" s="5">
        <f>IF(AND(B81,A81=_ztfkfy),_z4p8is*_zh30bl,0)</f>
        <v/>
      </c>
      <c r="G81" s="5">
        <f>F81*0.13/(1+0.13)</f>
        <v/>
      </c>
      <c r="H81" s="5">
        <f>F81-G81</f>
        <v/>
      </c>
      <c r="I81" s="5">
        <f>IF(B81,_z7m6d8*C81+_zz1w2z,0)</f>
        <v/>
      </c>
      <c r="J81" s="5">
        <f>I81/(1+0.13)</f>
        <v/>
      </c>
      <c r="K81" s="5">
        <f>I81-J81</f>
        <v/>
      </c>
      <c r="L81" s="5">
        <f>N80+G81</f>
        <v/>
      </c>
      <c r="M81" s="5">
        <f>MAX(0,K81-L81)</f>
        <v/>
      </c>
      <c r="N81" s="5">
        <f>MAX(0,L81-K81)</f>
        <v/>
      </c>
      <c r="O81" s="5">
        <f>M81*0.12</f>
        <v/>
      </c>
      <c r="P81" s="5">
        <f>E81-K81</f>
        <v/>
      </c>
      <c r="Q81" s="5">
        <f>U80</f>
        <v/>
      </c>
      <c r="R81" s="5">
        <f>IF(AND(B81,A81&lt;=_z2al7i),Q81*_zks9j8,0)</f>
        <v/>
      </c>
      <c r="S81" s="5">
        <f>IF(AND(B81,A81&lt;=_z2al7i),_zgsfrl,0)</f>
        <v/>
      </c>
      <c r="T81" s="5">
        <f>S81-R81</f>
        <v/>
      </c>
      <c r="U81" s="5">
        <f>MAX(0,Q81-T81)</f>
        <v/>
      </c>
      <c r="V81" s="5">
        <f>IF(AND(B81,A81&lt;=_zupe8l),_z0jo6h,0)</f>
        <v/>
      </c>
      <c r="W81" s="5">
        <f>IF((_zlt415="是"),IF(A81&lt;=3,0,IF(A81&lt;=6,0.5,1)),1)</f>
        <v/>
      </c>
      <c r="X81" s="5">
        <f>_zrzkf6*W81+(1-_zrzkf6)</f>
        <v/>
      </c>
      <c r="Y81" s="5">
        <f>IF(B81,P81-_zkfhzg-O81-V81-H81,0)</f>
        <v/>
      </c>
      <c r="Z81" s="5">
        <f>MAX(0,-Y80)</f>
        <v/>
      </c>
      <c r="AA81" s="5">
        <f>MIN(Z80,MAX(0,(AD80+AC80+AB80+AA80+Z80)-AE80))</f>
        <v/>
      </c>
      <c r="AB81" s="5">
        <f>MIN(AA80,MAX(0,(AD80+AC80+AB80+AA80)-AE80))</f>
        <v/>
      </c>
      <c r="AC81" s="5">
        <f>MIN(AB80,MAX(0,(AD80+AC80+AB80)-AE80))</f>
        <v/>
      </c>
      <c r="AD81" s="5">
        <f>MIN(AC80,MAX(0,(AD80+AC80)-AE80))</f>
        <v/>
      </c>
      <c r="AE81" s="5">
        <f>MIN(MAX(Y81,0),Z81+AA81+AB81+AC81+AD81)</f>
        <v/>
      </c>
      <c r="AF81" s="5">
        <f>MAX(Y81,0)-AE81</f>
        <v/>
      </c>
      <c r="AG81" s="5">
        <f>AF81*_zk03a3*X81</f>
        <v/>
      </c>
      <c r="AH81" s="5">
        <f>IF(B81,Y81-R81,0)</f>
        <v/>
      </c>
      <c r="AI81" s="5">
        <f>MAX(0,-AH80)</f>
        <v/>
      </c>
      <c r="AJ81" s="5">
        <f>MIN(AI80,MAX(0,(AM80+AL80+AK80+AJ80+AI80)-AN80))</f>
        <v/>
      </c>
      <c r="AK81" s="5">
        <f>MIN(AJ80,MAX(0,(AM80+AL80+AK80+AJ80)-AN80))</f>
        <v/>
      </c>
      <c r="AL81" s="5">
        <f>MIN(AK80,MAX(0,(AM80+AL80+AK80)-AN80))</f>
        <v/>
      </c>
      <c r="AM81" s="5">
        <f>MIN(AL80,MAX(0,(AM80+AL80)-AN80))</f>
        <v/>
      </c>
      <c r="AN81" s="5">
        <f>MIN(MAX(AH81,0),AI81+AJ81+AK81+AL81+AM81)</f>
        <v/>
      </c>
      <c r="AO81" s="5">
        <f>MAX(AH81,0)-AN81</f>
        <v/>
      </c>
      <c r="AP81" s="5">
        <f>AO81*_zk03a3*X81</f>
        <v/>
      </c>
      <c r="AQ81" s="5">
        <f>IF(A81=_zx5hja,_zk1wd3,0)</f>
        <v/>
      </c>
      <c r="AR81" s="5">
        <f>IF(B81,E81-_zkfhzg-M81-O81-F81+AQ81,0)</f>
        <v/>
      </c>
      <c r="AS81" s="5">
        <f>AR81-AG81</f>
        <v/>
      </c>
      <c r="AT81" s="5">
        <f>IF(B81,E81-_zkfhzg-M81-O81-F81-S81-AP81+AQ81-IF(AND(A81=_zx5hja,_z2al7i&gt;_zx5hja),U81,0),0)</f>
        <v/>
      </c>
      <c r="AU81" s="5">
        <f>AU80+AS81</f>
        <v/>
      </c>
      <c r="AV81" s="5">
        <f>IF(AND(AU80&lt;0,AU81&gt;=0,AS81&gt;0),1,0)</f>
        <v/>
      </c>
      <c r="AW81" s="5">
        <f>AS81/(1+_z1ltt4)^A81</f>
        <v/>
      </c>
      <c r="AX81" s="5">
        <f>AX80+AW81</f>
        <v/>
      </c>
      <c r="AY81" s="5">
        <f>IF(AND(AX80&lt;0,AX81&gt;=0,AW81&gt;0),1,0)</f>
        <v/>
      </c>
      <c r="AZ81" s="5">
        <f>(_z39asj+_zy2ig8)*C81</f>
        <v/>
      </c>
      <c r="BA81" s="5">
        <f>IF(B81,_zkfhzg+_zdd3mz+_z2y4dt+F81-AQ81,0)</f>
        <v/>
      </c>
      <c r="BB81" s="5">
        <f>IF(AR81=0,BB80,SIGN(AR81))</f>
        <v/>
      </c>
      <c r="BC81" s="5">
        <f>BC80+IF(OR(AR81=0,BB80=0),0,IF(SIGN(AR81)&lt;&gt;BB80,1,0))</f>
        <v/>
      </c>
      <c r="BD81" s="5">
        <f>IF(AS81=0,BD80,SIGN(AS81))</f>
        <v/>
      </c>
      <c r="BE81" s="5">
        <f>BE80+IF(OR(AS81=0,BD80=0),0,IF(SIGN(AS81)&lt;&gt;BD80,1,0))</f>
        <v/>
      </c>
      <c r="BF81" s="5">
        <f>IF(AT81=0,BF80,SIGN(AT81))</f>
        <v/>
      </c>
      <c r="BG81" s="5">
        <f>BG80+IF(OR(AT81=0,BF80=0),0,IF(SIGN(AT81)&lt;&gt;BF80,1,0))</f>
        <v/>
      </c>
    </row>
    <row r="82">
      <c r="A82" s="5" t="n">
        <v>18</v>
      </c>
      <c r="B82" s="5">
        <f>AND(A82&gt;=1,A82&lt;=_zx5hja)</f>
        <v/>
      </c>
      <c r="C82" s="5">
        <f>IF(B82,(1-_zecdlb)^(A82-1),0)</f>
        <v/>
      </c>
      <c r="D82" s="5">
        <f>(_zgk3lw+_z7m6d8)*C82</f>
        <v/>
      </c>
      <c r="E82" s="5">
        <f>IF(B82,D82+_zmztd5-_zdd3mz-_z2y4dt,0)</f>
        <v/>
      </c>
      <c r="F82" s="5">
        <f>IF(AND(B82,A82=_ztfkfy),_z4p8is*_zh30bl,0)</f>
        <v/>
      </c>
      <c r="G82" s="5">
        <f>F82*0.13/(1+0.13)</f>
        <v/>
      </c>
      <c r="H82" s="5">
        <f>F82-G82</f>
        <v/>
      </c>
      <c r="I82" s="5">
        <f>IF(B82,_z7m6d8*C82+_zz1w2z,0)</f>
        <v/>
      </c>
      <c r="J82" s="5">
        <f>I82/(1+0.13)</f>
        <v/>
      </c>
      <c r="K82" s="5">
        <f>I82-J82</f>
        <v/>
      </c>
      <c r="L82" s="5">
        <f>N81+G82</f>
        <v/>
      </c>
      <c r="M82" s="5">
        <f>MAX(0,K82-L82)</f>
        <v/>
      </c>
      <c r="N82" s="5">
        <f>MAX(0,L82-K82)</f>
        <v/>
      </c>
      <c r="O82" s="5">
        <f>M82*0.12</f>
        <v/>
      </c>
      <c r="P82" s="5">
        <f>E82-K82</f>
        <v/>
      </c>
      <c r="Q82" s="5">
        <f>U81</f>
        <v/>
      </c>
      <c r="R82" s="5">
        <f>IF(AND(B82,A82&lt;=_z2al7i),Q82*_zks9j8,0)</f>
        <v/>
      </c>
      <c r="S82" s="5">
        <f>IF(AND(B82,A82&lt;=_z2al7i),_zgsfrl,0)</f>
        <v/>
      </c>
      <c r="T82" s="5">
        <f>S82-R82</f>
        <v/>
      </c>
      <c r="U82" s="5">
        <f>MAX(0,Q82-T82)</f>
        <v/>
      </c>
      <c r="V82" s="5">
        <f>IF(AND(B82,A82&lt;=_zupe8l),_z0jo6h,0)</f>
        <v/>
      </c>
      <c r="W82" s="5">
        <f>IF((_zlt415="是"),IF(A82&lt;=3,0,IF(A82&lt;=6,0.5,1)),1)</f>
        <v/>
      </c>
      <c r="X82" s="5">
        <f>_zrzkf6*W82+(1-_zrzkf6)</f>
        <v/>
      </c>
      <c r="Y82" s="5">
        <f>IF(B82,P82-_zkfhzg-O82-V82-H82,0)</f>
        <v/>
      </c>
      <c r="Z82" s="5">
        <f>MAX(0,-Y81)</f>
        <v/>
      </c>
      <c r="AA82" s="5">
        <f>MIN(Z81,MAX(0,(AD81+AC81+AB81+AA81+Z81)-AE81))</f>
        <v/>
      </c>
      <c r="AB82" s="5">
        <f>MIN(AA81,MAX(0,(AD81+AC81+AB81+AA81)-AE81))</f>
        <v/>
      </c>
      <c r="AC82" s="5">
        <f>MIN(AB81,MAX(0,(AD81+AC81+AB81)-AE81))</f>
        <v/>
      </c>
      <c r="AD82" s="5">
        <f>MIN(AC81,MAX(0,(AD81+AC81)-AE81))</f>
        <v/>
      </c>
      <c r="AE82" s="5">
        <f>MIN(MAX(Y82,0),Z82+AA82+AB82+AC82+AD82)</f>
        <v/>
      </c>
      <c r="AF82" s="5">
        <f>MAX(Y82,0)-AE82</f>
        <v/>
      </c>
      <c r="AG82" s="5">
        <f>AF82*_zk03a3*X82</f>
        <v/>
      </c>
      <c r="AH82" s="5">
        <f>IF(B82,Y82-R82,0)</f>
        <v/>
      </c>
      <c r="AI82" s="5">
        <f>MAX(0,-AH81)</f>
        <v/>
      </c>
      <c r="AJ82" s="5">
        <f>MIN(AI81,MAX(0,(AM81+AL81+AK81+AJ81+AI81)-AN81))</f>
        <v/>
      </c>
      <c r="AK82" s="5">
        <f>MIN(AJ81,MAX(0,(AM81+AL81+AK81+AJ81)-AN81))</f>
        <v/>
      </c>
      <c r="AL82" s="5">
        <f>MIN(AK81,MAX(0,(AM81+AL81+AK81)-AN81))</f>
        <v/>
      </c>
      <c r="AM82" s="5">
        <f>MIN(AL81,MAX(0,(AM81+AL81)-AN81))</f>
        <v/>
      </c>
      <c r="AN82" s="5">
        <f>MIN(MAX(AH82,0),AI82+AJ82+AK82+AL82+AM82)</f>
        <v/>
      </c>
      <c r="AO82" s="5">
        <f>MAX(AH82,0)-AN82</f>
        <v/>
      </c>
      <c r="AP82" s="5">
        <f>AO82*_zk03a3*X82</f>
        <v/>
      </c>
      <c r="AQ82" s="5">
        <f>IF(A82=_zx5hja,_zk1wd3,0)</f>
        <v/>
      </c>
      <c r="AR82" s="5">
        <f>IF(B82,E82-_zkfhzg-M82-O82-F82+AQ82,0)</f>
        <v/>
      </c>
      <c r="AS82" s="5">
        <f>AR82-AG82</f>
        <v/>
      </c>
      <c r="AT82" s="5">
        <f>IF(B82,E82-_zkfhzg-M82-O82-F82-S82-AP82+AQ82-IF(AND(A82=_zx5hja,_z2al7i&gt;_zx5hja),U82,0),0)</f>
        <v/>
      </c>
      <c r="AU82" s="5">
        <f>AU81+AS82</f>
        <v/>
      </c>
      <c r="AV82" s="5">
        <f>IF(AND(AU81&lt;0,AU82&gt;=0,AS82&gt;0),1,0)</f>
        <v/>
      </c>
      <c r="AW82" s="5">
        <f>AS82/(1+_z1ltt4)^A82</f>
        <v/>
      </c>
      <c r="AX82" s="5">
        <f>AX81+AW82</f>
        <v/>
      </c>
      <c r="AY82" s="5">
        <f>IF(AND(AX81&lt;0,AX82&gt;=0,AW82&gt;0),1,0)</f>
        <v/>
      </c>
      <c r="AZ82" s="5">
        <f>(_z39asj+_zy2ig8)*C82</f>
        <v/>
      </c>
      <c r="BA82" s="5">
        <f>IF(B82,_zkfhzg+_zdd3mz+_z2y4dt+F82-AQ82,0)</f>
        <v/>
      </c>
      <c r="BB82" s="5">
        <f>IF(AR82=0,BB81,SIGN(AR82))</f>
        <v/>
      </c>
      <c r="BC82" s="5">
        <f>BC81+IF(OR(AR82=0,BB81=0),0,IF(SIGN(AR82)&lt;&gt;BB81,1,0))</f>
        <v/>
      </c>
      <c r="BD82" s="5">
        <f>IF(AS82=0,BD81,SIGN(AS82))</f>
        <v/>
      </c>
      <c r="BE82" s="5">
        <f>BE81+IF(OR(AS82=0,BD81=0),0,IF(SIGN(AS82)&lt;&gt;BD81,1,0))</f>
        <v/>
      </c>
      <c r="BF82" s="5">
        <f>IF(AT82=0,BF81,SIGN(AT82))</f>
        <v/>
      </c>
      <c r="BG82" s="5">
        <f>BG81+IF(OR(AT82=0,BF81=0),0,IF(SIGN(AT82)&lt;&gt;BF81,1,0))</f>
        <v/>
      </c>
    </row>
    <row r="83">
      <c r="A83" s="5" t="n">
        <v>19</v>
      </c>
      <c r="B83" s="5">
        <f>AND(A83&gt;=1,A83&lt;=_zx5hja)</f>
        <v/>
      </c>
      <c r="C83" s="5">
        <f>IF(B83,(1-_zecdlb)^(A83-1),0)</f>
        <v/>
      </c>
      <c r="D83" s="5">
        <f>(_zgk3lw+_z7m6d8)*C83</f>
        <v/>
      </c>
      <c r="E83" s="5">
        <f>IF(B83,D83+_zmztd5-_zdd3mz-_z2y4dt,0)</f>
        <v/>
      </c>
      <c r="F83" s="5">
        <f>IF(AND(B83,A83=_ztfkfy),_z4p8is*_zh30bl,0)</f>
        <v/>
      </c>
      <c r="G83" s="5">
        <f>F83*0.13/(1+0.13)</f>
        <v/>
      </c>
      <c r="H83" s="5">
        <f>F83-G83</f>
        <v/>
      </c>
      <c r="I83" s="5">
        <f>IF(B83,_z7m6d8*C83+_zz1w2z,0)</f>
        <v/>
      </c>
      <c r="J83" s="5">
        <f>I83/(1+0.13)</f>
        <v/>
      </c>
      <c r="K83" s="5">
        <f>I83-J83</f>
        <v/>
      </c>
      <c r="L83" s="5">
        <f>N82+G83</f>
        <v/>
      </c>
      <c r="M83" s="5">
        <f>MAX(0,K83-L83)</f>
        <v/>
      </c>
      <c r="N83" s="5">
        <f>MAX(0,L83-K83)</f>
        <v/>
      </c>
      <c r="O83" s="5">
        <f>M83*0.12</f>
        <v/>
      </c>
      <c r="P83" s="5">
        <f>E83-K83</f>
        <v/>
      </c>
      <c r="Q83" s="5">
        <f>U82</f>
        <v/>
      </c>
      <c r="R83" s="5">
        <f>IF(AND(B83,A83&lt;=_z2al7i),Q83*_zks9j8,0)</f>
        <v/>
      </c>
      <c r="S83" s="5">
        <f>IF(AND(B83,A83&lt;=_z2al7i),_zgsfrl,0)</f>
        <v/>
      </c>
      <c r="T83" s="5">
        <f>S83-R83</f>
        <v/>
      </c>
      <c r="U83" s="5">
        <f>MAX(0,Q83-T83)</f>
        <v/>
      </c>
      <c r="V83" s="5">
        <f>IF(AND(B83,A83&lt;=_zupe8l),_z0jo6h,0)</f>
        <v/>
      </c>
      <c r="W83" s="5">
        <f>IF((_zlt415="是"),IF(A83&lt;=3,0,IF(A83&lt;=6,0.5,1)),1)</f>
        <v/>
      </c>
      <c r="X83" s="5">
        <f>_zrzkf6*W83+(1-_zrzkf6)</f>
        <v/>
      </c>
      <c r="Y83" s="5">
        <f>IF(B83,P83-_zkfhzg-O83-V83-H83,0)</f>
        <v/>
      </c>
      <c r="Z83" s="5">
        <f>MAX(0,-Y82)</f>
        <v/>
      </c>
      <c r="AA83" s="5">
        <f>MIN(Z82,MAX(0,(AD82+AC82+AB82+AA82+Z82)-AE82))</f>
        <v/>
      </c>
      <c r="AB83" s="5">
        <f>MIN(AA82,MAX(0,(AD82+AC82+AB82+AA82)-AE82))</f>
        <v/>
      </c>
      <c r="AC83" s="5">
        <f>MIN(AB82,MAX(0,(AD82+AC82+AB82)-AE82))</f>
        <v/>
      </c>
      <c r="AD83" s="5">
        <f>MIN(AC82,MAX(0,(AD82+AC82)-AE82))</f>
        <v/>
      </c>
      <c r="AE83" s="5">
        <f>MIN(MAX(Y83,0),Z83+AA83+AB83+AC83+AD83)</f>
        <v/>
      </c>
      <c r="AF83" s="5">
        <f>MAX(Y83,0)-AE83</f>
        <v/>
      </c>
      <c r="AG83" s="5">
        <f>AF83*_zk03a3*X83</f>
        <v/>
      </c>
      <c r="AH83" s="5">
        <f>IF(B83,Y83-R83,0)</f>
        <v/>
      </c>
      <c r="AI83" s="5">
        <f>MAX(0,-AH82)</f>
        <v/>
      </c>
      <c r="AJ83" s="5">
        <f>MIN(AI82,MAX(0,(AM82+AL82+AK82+AJ82+AI82)-AN82))</f>
        <v/>
      </c>
      <c r="AK83" s="5">
        <f>MIN(AJ82,MAX(0,(AM82+AL82+AK82+AJ82)-AN82))</f>
        <v/>
      </c>
      <c r="AL83" s="5">
        <f>MIN(AK82,MAX(0,(AM82+AL82+AK82)-AN82))</f>
        <v/>
      </c>
      <c r="AM83" s="5">
        <f>MIN(AL82,MAX(0,(AM82+AL82)-AN82))</f>
        <v/>
      </c>
      <c r="AN83" s="5">
        <f>MIN(MAX(AH83,0),AI83+AJ83+AK83+AL83+AM83)</f>
        <v/>
      </c>
      <c r="AO83" s="5">
        <f>MAX(AH83,0)-AN83</f>
        <v/>
      </c>
      <c r="AP83" s="5">
        <f>AO83*_zk03a3*X83</f>
        <v/>
      </c>
      <c r="AQ83" s="5">
        <f>IF(A83=_zx5hja,_zk1wd3,0)</f>
        <v/>
      </c>
      <c r="AR83" s="5">
        <f>IF(B83,E83-_zkfhzg-M83-O83-F83+AQ83,0)</f>
        <v/>
      </c>
      <c r="AS83" s="5">
        <f>AR83-AG83</f>
        <v/>
      </c>
      <c r="AT83" s="5">
        <f>IF(B83,E83-_zkfhzg-M83-O83-F83-S83-AP83+AQ83-IF(AND(A83=_zx5hja,_z2al7i&gt;_zx5hja),U83,0),0)</f>
        <v/>
      </c>
      <c r="AU83" s="5">
        <f>AU82+AS83</f>
        <v/>
      </c>
      <c r="AV83" s="5">
        <f>IF(AND(AU82&lt;0,AU83&gt;=0,AS83&gt;0),1,0)</f>
        <v/>
      </c>
      <c r="AW83" s="5">
        <f>AS83/(1+_z1ltt4)^A83</f>
        <v/>
      </c>
      <c r="AX83" s="5">
        <f>AX82+AW83</f>
        <v/>
      </c>
      <c r="AY83" s="5">
        <f>IF(AND(AX82&lt;0,AX83&gt;=0,AW83&gt;0),1,0)</f>
        <v/>
      </c>
      <c r="AZ83" s="5">
        <f>(_z39asj+_zy2ig8)*C83</f>
        <v/>
      </c>
      <c r="BA83" s="5">
        <f>IF(B83,_zkfhzg+_zdd3mz+_z2y4dt+F83-AQ83,0)</f>
        <v/>
      </c>
      <c r="BB83" s="5">
        <f>IF(AR83=0,BB82,SIGN(AR83))</f>
        <v/>
      </c>
      <c r="BC83" s="5">
        <f>BC82+IF(OR(AR83=0,BB82=0),0,IF(SIGN(AR83)&lt;&gt;BB82,1,0))</f>
        <v/>
      </c>
      <c r="BD83" s="5">
        <f>IF(AS83=0,BD82,SIGN(AS83))</f>
        <v/>
      </c>
      <c r="BE83" s="5">
        <f>BE82+IF(OR(AS83=0,BD82=0),0,IF(SIGN(AS83)&lt;&gt;BD82,1,0))</f>
        <v/>
      </c>
      <c r="BF83" s="5">
        <f>IF(AT83=0,BF82,SIGN(AT83))</f>
        <v/>
      </c>
      <c r="BG83" s="5">
        <f>BG82+IF(OR(AT83=0,BF82=0),0,IF(SIGN(AT83)&lt;&gt;BF82,1,0))</f>
        <v/>
      </c>
    </row>
    <row r="84">
      <c r="A84" s="5" t="n">
        <v>20</v>
      </c>
      <c r="B84" s="5">
        <f>AND(A84&gt;=1,A84&lt;=_zx5hja)</f>
        <v/>
      </c>
      <c r="C84" s="5">
        <f>IF(B84,(1-_zecdlb)^(A84-1),0)</f>
        <v/>
      </c>
      <c r="D84" s="5">
        <f>(_zgk3lw+_z7m6d8)*C84</f>
        <v/>
      </c>
      <c r="E84" s="5">
        <f>IF(B84,D84+_zmztd5-_zdd3mz-_z2y4dt,0)</f>
        <v/>
      </c>
      <c r="F84" s="5">
        <f>IF(AND(B84,A84=_ztfkfy),_z4p8is*_zh30bl,0)</f>
        <v/>
      </c>
      <c r="G84" s="5">
        <f>F84*0.13/(1+0.13)</f>
        <v/>
      </c>
      <c r="H84" s="5">
        <f>F84-G84</f>
        <v/>
      </c>
      <c r="I84" s="5">
        <f>IF(B84,_z7m6d8*C84+_zz1w2z,0)</f>
        <v/>
      </c>
      <c r="J84" s="5">
        <f>I84/(1+0.13)</f>
        <v/>
      </c>
      <c r="K84" s="5">
        <f>I84-J84</f>
        <v/>
      </c>
      <c r="L84" s="5">
        <f>N83+G84</f>
        <v/>
      </c>
      <c r="M84" s="5">
        <f>MAX(0,K84-L84)</f>
        <v/>
      </c>
      <c r="N84" s="5">
        <f>MAX(0,L84-K84)</f>
        <v/>
      </c>
      <c r="O84" s="5">
        <f>M84*0.12</f>
        <v/>
      </c>
      <c r="P84" s="5">
        <f>E84-K84</f>
        <v/>
      </c>
      <c r="Q84" s="5">
        <f>U83</f>
        <v/>
      </c>
      <c r="R84" s="5">
        <f>IF(AND(B84,A84&lt;=_z2al7i),Q84*_zks9j8,0)</f>
        <v/>
      </c>
      <c r="S84" s="5">
        <f>IF(AND(B84,A84&lt;=_z2al7i),_zgsfrl,0)</f>
        <v/>
      </c>
      <c r="T84" s="5">
        <f>S84-R84</f>
        <v/>
      </c>
      <c r="U84" s="5">
        <f>MAX(0,Q84-T84)</f>
        <v/>
      </c>
      <c r="V84" s="5">
        <f>IF(AND(B84,A84&lt;=_zupe8l),_z0jo6h,0)</f>
        <v/>
      </c>
      <c r="W84" s="5">
        <f>IF((_zlt415="是"),IF(A84&lt;=3,0,IF(A84&lt;=6,0.5,1)),1)</f>
        <v/>
      </c>
      <c r="X84" s="5">
        <f>_zrzkf6*W84+(1-_zrzkf6)</f>
        <v/>
      </c>
      <c r="Y84" s="5">
        <f>IF(B84,P84-_zkfhzg-O84-V84-H84,0)</f>
        <v/>
      </c>
      <c r="Z84" s="5">
        <f>MAX(0,-Y83)</f>
        <v/>
      </c>
      <c r="AA84" s="5">
        <f>MIN(Z83,MAX(0,(AD83+AC83+AB83+AA83+Z83)-AE83))</f>
        <v/>
      </c>
      <c r="AB84" s="5">
        <f>MIN(AA83,MAX(0,(AD83+AC83+AB83+AA83)-AE83))</f>
        <v/>
      </c>
      <c r="AC84" s="5">
        <f>MIN(AB83,MAX(0,(AD83+AC83+AB83)-AE83))</f>
        <v/>
      </c>
      <c r="AD84" s="5">
        <f>MIN(AC83,MAX(0,(AD83+AC83)-AE83))</f>
        <v/>
      </c>
      <c r="AE84" s="5">
        <f>MIN(MAX(Y84,0),Z84+AA84+AB84+AC84+AD84)</f>
        <v/>
      </c>
      <c r="AF84" s="5">
        <f>MAX(Y84,0)-AE84</f>
        <v/>
      </c>
      <c r="AG84" s="5">
        <f>AF84*_zk03a3*X84</f>
        <v/>
      </c>
      <c r="AH84" s="5">
        <f>IF(B84,Y84-R84,0)</f>
        <v/>
      </c>
      <c r="AI84" s="5">
        <f>MAX(0,-AH83)</f>
        <v/>
      </c>
      <c r="AJ84" s="5">
        <f>MIN(AI83,MAX(0,(AM83+AL83+AK83+AJ83+AI83)-AN83))</f>
        <v/>
      </c>
      <c r="AK84" s="5">
        <f>MIN(AJ83,MAX(0,(AM83+AL83+AK83+AJ83)-AN83))</f>
        <v/>
      </c>
      <c r="AL84" s="5">
        <f>MIN(AK83,MAX(0,(AM83+AL83+AK83)-AN83))</f>
        <v/>
      </c>
      <c r="AM84" s="5">
        <f>MIN(AL83,MAX(0,(AM83+AL83)-AN83))</f>
        <v/>
      </c>
      <c r="AN84" s="5">
        <f>MIN(MAX(AH84,0),AI84+AJ84+AK84+AL84+AM84)</f>
        <v/>
      </c>
      <c r="AO84" s="5">
        <f>MAX(AH84,0)-AN84</f>
        <v/>
      </c>
      <c r="AP84" s="5">
        <f>AO84*_zk03a3*X84</f>
        <v/>
      </c>
      <c r="AQ84" s="5">
        <f>IF(A84=_zx5hja,_zk1wd3,0)</f>
        <v/>
      </c>
      <c r="AR84" s="5">
        <f>IF(B84,E84-_zkfhzg-M84-O84-F84+AQ84,0)</f>
        <v/>
      </c>
      <c r="AS84" s="5">
        <f>AR84-AG84</f>
        <v/>
      </c>
      <c r="AT84" s="5">
        <f>IF(B84,E84-_zkfhzg-M84-O84-F84-S84-AP84+AQ84-IF(AND(A84=_zx5hja,_z2al7i&gt;_zx5hja),U84,0),0)</f>
        <v/>
      </c>
      <c r="AU84" s="5">
        <f>AU83+AS84</f>
        <v/>
      </c>
      <c r="AV84" s="5">
        <f>IF(AND(AU83&lt;0,AU84&gt;=0,AS84&gt;0),1,0)</f>
        <v/>
      </c>
      <c r="AW84" s="5">
        <f>AS84/(1+_z1ltt4)^A84</f>
        <v/>
      </c>
      <c r="AX84" s="5">
        <f>AX83+AW84</f>
        <v/>
      </c>
      <c r="AY84" s="5">
        <f>IF(AND(AX83&lt;0,AX84&gt;=0,AW84&gt;0),1,0)</f>
        <v/>
      </c>
      <c r="AZ84" s="5">
        <f>(_z39asj+_zy2ig8)*C84</f>
        <v/>
      </c>
      <c r="BA84" s="5">
        <f>IF(B84,_zkfhzg+_zdd3mz+_z2y4dt+F84-AQ84,0)</f>
        <v/>
      </c>
      <c r="BB84" s="5">
        <f>IF(AR84=0,BB83,SIGN(AR84))</f>
        <v/>
      </c>
      <c r="BC84" s="5">
        <f>BC83+IF(OR(AR84=0,BB83=0),0,IF(SIGN(AR84)&lt;&gt;BB83,1,0))</f>
        <v/>
      </c>
      <c r="BD84" s="5">
        <f>IF(AS84=0,BD83,SIGN(AS84))</f>
        <v/>
      </c>
      <c r="BE84" s="5">
        <f>BE83+IF(OR(AS84=0,BD83=0),0,IF(SIGN(AS84)&lt;&gt;BD83,1,0))</f>
        <v/>
      </c>
      <c r="BF84" s="5">
        <f>IF(AT84=0,BF83,SIGN(AT84))</f>
        <v/>
      </c>
      <c r="BG84" s="5">
        <f>BG83+IF(OR(AT84=0,BF83=0),0,IF(SIGN(AT84)&lt;&gt;BF83,1,0))</f>
        <v/>
      </c>
    </row>
    <row r="85">
      <c r="A85" s="5" t="n">
        <v>21</v>
      </c>
      <c r="B85" s="5">
        <f>AND(A85&gt;=1,A85&lt;=_zx5hja)</f>
        <v/>
      </c>
      <c r="C85" s="5">
        <f>IF(B85,(1-_zecdlb)^(A85-1),0)</f>
        <v/>
      </c>
      <c r="D85" s="5">
        <f>(_zgk3lw+_z7m6d8)*C85</f>
        <v/>
      </c>
      <c r="E85" s="5">
        <f>IF(B85,D85+_zmztd5-_zdd3mz-_z2y4dt,0)</f>
        <v/>
      </c>
      <c r="F85" s="5">
        <f>IF(AND(B85,A85=_ztfkfy),_z4p8is*_zh30bl,0)</f>
        <v/>
      </c>
      <c r="G85" s="5">
        <f>F85*0.13/(1+0.13)</f>
        <v/>
      </c>
      <c r="H85" s="5">
        <f>F85-G85</f>
        <v/>
      </c>
      <c r="I85" s="5">
        <f>IF(B85,_z7m6d8*C85+_zz1w2z,0)</f>
        <v/>
      </c>
      <c r="J85" s="5">
        <f>I85/(1+0.13)</f>
        <v/>
      </c>
      <c r="K85" s="5">
        <f>I85-J85</f>
        <v/>
      </c>
      <c r="L85" s="5">
        <f>N84+G85</f>
        <v/>
      </c>
      <c r="M85" s="5">
        <f>MAX(0,K85-L85)</f>
        <v/>
      </c>
      <c r="N85" s="5">
        <f>MAX(0,L85-K85)</f>
        <v/>
      </c>
      <c r="O85" s="5">
        <f>M85*0.12</f>
        <v/>
      </c>
      <c r="P85" s="5">
        <f>E85-K85</f>
        <v/>
      </c>
      <c r="Q85" s="5">
        <f>U84</f>
        <v/>
      </c>
      <c r="R85" s="5">
        <f>IF(AND(B85,A85&lt;=_z2al7i),Q85*_zks9j8,0)</f>
        <v/>
      </c>
      <c r="S85" s="5">
        <f>IF(AND(B85,A85&lt;=_z2al7i),_zgsfrl,0)</f>
        <v/>
      </c>
      <c r="T85" s="5">
        <f>S85-R85</f>
        <v/>
      </c>
      <c r="U85" s="5">
        <f>MAX(0,Q85-T85)</f>
        <v/>
      </c>
      <c r="V85" s="5">
        <f>IF(AND(B85,A85&lt;=_zupe8l),_z0jo6h,0)</f>
        <v/>
      </c>
      <c r="W85" s="5">
        <f>IF((_zlt415="是"),IF(A85&lt;=3,0,IF(A85&lt;=6,0.5,1)),1)</f>
        <v/>
      </c>
      <c r="X85" s="5">
        <f>_zrzkf6*W85+(1-_zrzkf6)</f>
        <v/>
      </c>
      <c r="Y85" s="5">
        <f>IF(B85,P85-_zkfhzg-O85-V85-H85,0)</f>
        <v/>
      </c>
      <c r="Z85" s="5">
        <f>MAX(0,-Y84)</f>
        <v/>
      </c>
      <c r="AA85" s="5">
        <f>MIN(Z84,MAX(0,(AD84+AC84+AB84+AA84+Z84)-AE84))</f>
        <v/>
      </c>
      <c r="AB85" s="5">
        <f>MIN(AA84,MAX(0,(AD84+AC84+AB84+AA84)-AE84))</f>
        <v/>
      </c>
      <c r="AC85" s="5">
        <f>MIN(AB84,MAX(0,(AD84+AC84+AB84)-AE84))</f>
        <v/>
      </c>
      <c r="AD85" s="5">
        <f>MIN(AC84,MAX(0,(AD84+AC84)-AE84))</f>
        <v/>
      </c>
      <c r="AE85" s="5">
        <f>MIN(MAX(Y85,0),Z85+AA85+AB85+AC85+AD85)</f>
        <v/>
      </c>
      <c r="AF85" s="5">
        <f>MAX(Y85,0)-AE85</f>
        <v/>
      </c>
      <c r="AG85" s="5">
        <f>AF85*_zk03a3*X85</f>
        <v/>
      </c>
      <c r="AH85" s="5">
        <f>IF(B85,Y85-R85,0)</f>
        <v/>
      </c>
      <c r="AI85" s="5">
        <f>MAX(0,-AH84)</f>
        <v/>
      </c>
      <c r="AJ85" s="5">
        <f>MIN(AI84,MAX(0,(AM84+AL84+AK84+AJ84+AI84)-AN84))</f>
        <v/>
      </c>
      <c r="AK85" s="5">
        <f>MIN(AJ84,MAX(0,(AM84+AL84+AK84+AJ84)-AN84))</f>
        <v/>
      </c>
      <c r="AL85" s="5">
        <f>MIN(AK84,MAX(0,(AM84+AL84+AK84)-AN84))</f>
        <v/>
      </c>
      <c r="AM85" s="5">
        <f>MIN(AL84,MAX(0,(AM84+AL84)-AN84))</f>
        <v/>
      </c>
      <c r="AN85" s="5">
        <f>MIN(MAX(AH85,0),AI85+AJ85+AK85+AL85+AM85)</f>
        <v/>
      </c>
      <c r="AO85" s="5">
        <f>MAX(AH85,0)-AN85</f>
        <v/>
      </c>
      <c r="AP85" s="5">
        <f>AO85*_zk03a3*X85</f>
        <v/>
      </c>
      <c r="AQ85" s="5">
        <f>IF(A85=_zx5hja,_zk1wd3,0)</f>
        <v/>
      </c>
      <c r="AR85" s="5">
        <f>IF(B85,E85-_zkfhzg-M85-O85-F85+AQ85,0)</f>
        <v/>
      </c>
      <c r="AS85" s="5">
        <f>AR85-AG85</f>
        <v/>
      </c>
      <c r="AT85" s="5">
        <f>IF(B85,E85-_zkfhzg-M85-O85-F85-S85-AP85+AQ85-IF(AND(A85=_zx5hja,_z2al7i&gt;_zx5hja),U85,0),0)</f>
        <v/>
      </c>
      <c r="AU85" s="5">
        <f>AU84+AS85</f>
        <v/>
      </c>
      <c r="AV85" s="5">
        <f>IF(AND(AU84&lt;0,AU85&gt;=0,AS85&gt;0),1,0)</f>
        <v/>
      </c>
      <c r="AW85" s="5">
        <f>AS85/(1+_z1ltt4)^A85</f>
        <v/>
      </c>
      <c r="AX85" s="5">
        <f>AX84+AW85</f>
        <v/>
      </c>
      <c r="AY85" s="5">
        <f>IF(AND(AX84&lt;0,AX85&gt;=0,AW85&gt;0),1,0)</f>
        <v/>
      </c>
      <c r="AZ85" s="5">
        <f>(_z39asj+_zy2ig8)*C85</f>
        <v/>
      </c>
      <c r="BA85" s="5">
        <f>IF(B85,_zkfhzg+_zdd3mz+_z2y4dt+F85-AQ85,0)</f>
        <v/>
      </c>
      <c r="BB85" s="5">
        <f>IF(AR85=0,BB84,SIGN(AR85))</f>
        <v/>
      </c>
      <c r="BC85" s="5">
        <f>BC84+IF(OR(AR85=0,BB84=0),0,IF(SIGN(AR85)&lt;&gt;BB84,1,0))</f>
        <v/>
      </c>
      <c r="BD85" s="5">
        <f>IF(AS85=0,BD84,SIGN(AS85))</f>
        <v/>
      </c>
      <c r="BE85" s="5">
        <f>BE84+IF(OR(AS85=0,BD84=0),0,IF(SIGN(AS85)&lt;&gt;BD84,1,0))</f>
        <v/>
      </c>
      <c r="BF85" s="5">
        <f>IF(AT85=0,BF84,SIGN(AT85))</f>
        <v/>
      </c>
      <c r="BG85" s="5">
        <f>BG84+IF(OR(AT85=0,BF84=0),0,IF(SIGN(AT85)&lt;&gt;BF84,1,0))</f>
        <v/>
      </c>
    </row>
    <row r="86">
      <c r="A86" s="5" t="n">
        <v>22</v>
      </c>
      <c r="B86" s="5">
        <f>AND(A86&gt;=1,A86&lt;=_zx5hja)</f>
        <v/>
      </c>
      <c r="C86" s="5">
        <f>IF(B86,(1-_zecdlb)^(A86-1),0)</f>
        <v/>
      </c>
      <c r="D86" s="5">
        <f>(_zgk3lw+_z7m6d8)*C86</f>
        <v/>
      </c>
      <c r="E86" s="5">
        <f>IF(B86,D86+_zmztd5-_zdd3mz-_z2y4dt,0)</f>
        <v/>
      </c>
      <c r="F86" s="5">
        <f>IF(AND(B86,A86=_ztfkfy),_z4p8is*_zh30bl,0)</f>
        <v/>
      </c>
      <c r="G86" s="5">
        <f>F86*0.13/(1+0.13)</f>
        <v/>
      </c>
      <c r="H86" s="5">
        <f>F86-G86</f>
        <v/>
      </c>
      <c r="I86" s="5">
        <f>IF(B86,_z7m6d8*C86+_zz1w2z,0)</f>
        <v/>
      </c>
      <c r="J86" s="5">
        <f>I86/(1+0.13)</f>
        <v/>
      </c>
      <c r="K86" s="5">
        <f>I86-J86</f>
        <v/>
      </c>
      <c r="L86" s="5">
        <f>N85+G86</f>
        <v/>
      </c>
      <c r="M86" s="5">
        <f>MAX(0,K86-L86)</f>
        <v/>
      </c>
      <c r="N86" s="5">
        <f>MAX(0,L86-K86)</f>
        <v/>
      </c>
      <c r="O86" s="5">
        <f>M86*0.12</f>
        <v/>
      </c>
      <c r="P86" s="5">
        <f>E86-K86</f>
        <v/>
      </c>
      <c r="Q86" s="5">
        <f>U85</f>
        <v/>
      </c>
      <c r="R86" s="5">
        <f>IF(AND(B86,A86&lt;=_z2al7i),Q86*_zks9j8,0)</f>
        <v/>
      </c>
      <c r="S86" s="5">
        <f>IF(AND(B86,A86&lt;=_z2al7i),_zgsfrl,0)</f>
        <v/>
      </c>
      <c r="T86" s="5">
        <f>S86-R86</f>
        <v/>
      </c>
      <c r="U86" s="5">
        <f>MAX(0,Q86-T86)</f>
        <v/>
      </c>
      <c r="V86" s="5">
        <f>IF(AND(B86,A86&lt;=_zupe8l),_z0jo6h,0)</f>
        <v/>
      </c>
      <c r="W86" s="5">
        <f>IF((_zlt415="是"),IF(A86&lt;=3,0,IF(A86&lt;=6,0.5,1)),1)</f>
        <v/>
      </c>
      <c r="X86" s="5">
        <f>_zrzkf6*W86+(1-_zrzkf6)</f>
        <v/>
      </c>
      <c r="Y86" s="5">
        <f>IF(B86,P86-_zkfhzg-O86-V86-H86,0)</f>
        <v/>
      </c>
      <c r="Z86" s="5">
        <f>MAX(0,-Y85)</f>
        <v/>
      </c>
      <c r="AA86" s="5">
        <f>MIN(Z85,MAX(0,(AD85+AC85+AB85+AA85+Z85)-AE85))</f>
        <v/>
      </c>
      <c r="AB86" s="5">
        <f>MIN(AA85,MAX(0,(AD85+AC85+AB85+AA85)-AE85))</f>
        <v/>
      </c>
      <c r="AC86" s="5">
        <f>MIN(AB85,MAX(0,(AD85+AC85+AB85)-AE85))</f>
        <v/>
      </c>
      <c r="AD86" s="5">
        <f>MIN(AC85,MAX(0,(AD85+AC85)-AE85))</f>
        <v/>
      </c>
      <c r="AE86" s="5">
        <f>MIN(MAX(Y86,0),Z86+AA86+AB86+AC86+AD86)</f>
        <v/>
      </c>
      <c r="AF86" s="5">
        <f>MAX(Y86,0)-AE86</f>
        <v/>
      </c>
      <c r="AG86" s="5">
        <f>AF86*_zk03a3*X86</f>
        <v/>
      </c>
      <c r="AH86" s="5">
        <f>IF(B86,Y86-R86,0)</f>
        <v/>
      </c>
      <c r="AI86" s="5">
        <f>MAX(0,-AH85)</f>
        <v/>
      </c>
      <c r="AJ86" s="5">
        <f>MIN(AI85,MAX(0,(AM85+AL85+AK85+AJ85+AI85)-AN85))</f>
        <v/>
      </c>
      <c r="AK86" s="5">
        <f>MIN(AJ85,MAX(0,(AM85+AL85+AK85+AJ85)-AN85))</f>
        <v/>
      </c>
      <c r="AL86" s="5">
        <f>MIN(AK85,MAX(0,(AM85+AL85+AK85)-AN85))</f>
        <v/>
      </c>
      <c r="AM86" s="5">
        <f>MIN(AL85,MAX(0,(AM85+AL85)-AN85))</f>
        <v/>
      </c>
      <c r="AN86" s="5">
        <f>MIN(MAX(AH86,0),AI86+AJ86+AK86+AL86+AM86)</f>
        <v/>
      </c>
      <c r="AO86" s="5">
        <f>MAX(AH86,0)-AN86</f>
        <v/>
      </c>
      <c r="AP86" s="5">
        <f>AO86*_zk03a3*X86</f>
        <v/>
      </c>
      <c r="AQ86" s="5">
        <f>IF(A86=_zx5hja,_zk1wd3,0)</f>
        <v/>
      </c>
      <c r="AR86" s="5">
        <f>IF(B86,E86-_zkfhzg-M86-O86-F86+AQ86,0)</f>
        <v/>
      </c>
      <c r="AS86" s="5">
        <f>AR86-AG86</f>
        <v/>
      </c>
      <c r="AT86" s="5">
        <f>IF(B86,E86-_zkfhzg-M86-O86-F86-S86-AP86+AQ86-IF(AND(A86=_zx5hja,_z2al7i&gt;_zx5hja),U86,0),0)</f>
        <v/>
      </c>
      <c r="AU86" s="5">
        <f>AU85+AS86</f>
        <v/>
      </c>
      <c r="AV86" s="5">
        <f>IF(AND(AU85&lt;0,AU86&gt;=0,AS86&gt;0),1,0)</f>
        <v/>
      </c>
      <c r="AW86" s="5">
        <f>AS86/(1+_z1ltt4)^A86</f>
        <v/>
      </c>
      <c r="AX86" s="5">
        <f>AX85+AW86</f>
        <v/>
      </c>
      <c r="AY86" s="5">
        <f>IF(AND(AX85&lt;0,AX86&gt;=0,AW86&gt;0),1,0)</f>
        <v/>
      </c>
      <c r="AZ86" s="5">
        <f>(_z39asj+_zy2ig8)*C86</f>
        <v/>
      </c>
      <c r="BA86" s="5">
        <f>IF(B86,_zkfhzg+_zdd3mz+_z2y4dt+F86-AQ86,0)</f>
        <v/>
      </c>
      <c r="BB86" s="5">
        <f>IF(AR86=0,BB85,SIGN(AR86))</f>
        <v/>
      </c>
      <c r="BC86" s="5">
        <f>BC85+IF(OR(AR86=0,BB85=0),0,IF(SIGN(AR86)&lt;&gt;BB85,1,0))</f>
        <v/>
      </c>
      <c r="BD86" s="5">
        <f>IF(AS86=0,BD85,SIGN(AS86))</f>
        <v/>
      </c>
      <c r="BE86" s="5">
        <f>BE85+IF(OR(AS86=0,BD85=0),0,IF(SIGN(AS86)&lt;&gt;BD85,1,0))</f>
        <v/>
      </c>
      <c r="BF86" s="5">
        <f>IF(AT86=0,BF85,SIGN(AT86))</f>
        <v/>
      </c>
      <c r="BG86" s="5">
        <f>BG85+IF(OR(AT86=0,BF85=0),0,IF(SIGN(AT86)&lt;&gt;BF85,1,0))</f>
        <v/>
      </c>
    </row>
    <row r="87">
      <c r="A87" s="5" t="n">
        <v>23</v>
      </c>
      <c r="B87" s="5">
        <f>AND(A87&gt;=1,A87&lt;=_zx5hja)</f>
        <v/>
      </c>
      <c r="C87" s="5">
        <f>IF(B87,(1-_zecdlb)^(A87-1),0)</f>
        <v/>
      </c>
      <c r="D87" s="5">
        <f>(_zgk3lw+_z7m6d8)*C87</f>
        <v/>
      </c>
      <c r="E87" s="5">
        <f>IF(B87,D87+_zmztd5-_zdd3mz-_z2y4dt,0)</f>
        <v/>
      </c>
      <c r="F87" s="5">
        <f>IF(AND(B87,A87=_ztfkfy),_z4p8is*_zh30bl,0)</f>
        <v/>
      </c>
      <c r="G87" s="5">
        <f>F87*0.13/(1+0.13)</f>
        <v/>
      </c>
      <c r="H87" s="5">
        <f>F87-G87</f>
        <v/>
      </c>
      <c r="I87" s="5">
        <f>IF(B87,_z7m6d8*C87+_zz1w2z,0)</f>
        <v/>
      </c>
      <c r="J87" s="5">
        <f>I87/(1+0.13)</f>
        <v/>
      </c>
      <c r="K87" s="5">
        <f>I87-J87</f>
        <v/>
      </c>
      <c r="L87" s="5">
        <f>N86+G87</f>
        <v/>
      </c>
      <c r="M87" s="5">
        <f>MAX(0,K87-L87)</f>
        <v/>
      </c>
      <c r="N87" s="5">
        <f>MAX(0,L87-K87)</f>
        <v/>
      </c>
      <c r="O87" s="5">
        <f>M87*0.12</f>
        <v/>
      </c>
      <c r="P87" s="5">
        <f>E87-K87</f>
        <v/>
      </c>
      <c r="Q87" s="5">
        <f>U86</f>
        <v/>
      </c>
      <c r="R87" s="5">
        <f>IF(AND(B87,A87&lt;=_z2al7i),Q87*_zks9j8,0)</f>
        <v/>
      </c>
      <c r="S87" s="5">
        <f>IF(AND(B87,A87&lt;=_z2al7i),_zgsfrl,0)</f>
        <v/>
      </c>
      <c r="T87" s="5">
        <f>S87-R87</f>
        <v/>
      </c>
      <c r="U87" s="5">
        <f>MAX(0,Q87-T87)</f>
        <v/>
      </c>
      <c r="V87" s="5">
        <f>IF(AND(B87,A87&lt;=_zupe8l),_z0jo6h,0)</f>
        <v/>
      </c>
      <c r="W87" s="5">
        <f>IF((_zlt415="是"),IF(A87&lt;=3,0,IF(A87&lt;=6,0.5,1)),1)</f>
        <v/>
      </c>
      <c r="X87" s="5">
        <f>_zrzkf6*W87+(1-_zrzkf6)</f>
        <v/>
      </c>
      <c r="Y87" s="5">
        <f>IF(B87,P87-_zkfhzg-O87-V87-H87,0)</f>
        <v/>
      </c>
      <c r="Z87" s="5">
        <f>MAX(0,-Y86)</f>
        <v/>
      </c>
      <c r="AA87" s="5">
        <f>MIN(Z86,MAX(0,(AD86+AC86+AB86+AA86+Z86)-AE86))</f>
        <v/>
      </c>
      <c r="AB87" s="5">
        <f>MIN(AA86,MAX(0,(AD86+AC86+AB86+AA86)-AE86))</f>
        <v/>
      </c>
      <c r="AC87" s="5">
        <f>MIN(AB86,MAX(0,(AD86+AC86+AB86)-AE86))</f>
        <v/>
      </c>
      <c r="AD87" s="5">
        <f>MIN(AC86,MAX(0,(AD86+AC86)-AE86))</f>
        <v/>
      </c>
      <c r="AE87" s="5">
        <f>MIN(MAX(Y87,0),Z87+AA87+AB87+AC87+AD87)</f>
        <v/>
      </c>
      <c r="AF87" s="5">
        <f>MAX(Y87,0)-AE87</f>
        <v/>
      </c>
      <c r="AG87" s="5">
        <f>AF87*_zk03a3*X87</f>
        <v/>
      </c>
      <c r="AH87" s="5">
        <f>IF(B87,Y87-R87,0)</f>
        <v/>
      </c>
      <c r="AI87" s="5">
        <f>MAX(0,-AH86)</f>
        <v/>
      </c>
      <c r="AJ87" s="5">
        <f>MIN(AI86,MAX(0,(AM86+AL86+AK86+AJ86+AI86)-AN86))</f>
        <v/>
      </c>
      <c r="AK87" s="5">
        <f>MIN(AJ86,MAX(0,(AM86+AL86+AK86+AJ86)-AN86))</f>
        <v/>
      </c>
      <c r="AL87" s="5">
        <f>MIN(AK86,MAX(0,(AM86+AL86+AK86)-AN86))</f>
        <v/>
      </c>
      <c r="AM87" s="5">
        <f>MIN(AL86,MAX(0,(AM86+AL86)-AN86))</f>
        <v/>
      </c>
      <c r="AN87" s="5">
        <f>MIN(MAX(AH87,0),AI87+AJ87+AK87+AL87+AM87)</f>
        <v/>
      </c>
      <c r="AO87" s="5">
        <f>MAX(AH87,0)-AN87</f>
        <v/>
      </c>
      <c r="AP87" s="5">
        <f>AO87*_zk03a3*X87</f>
        <v/>
      </c>
      <c r="AQ87" s="5">
        <f>IF(A87=_zx5hja,_zk1wd3,0)</f>
        <v/>
      </c>
      <c r="AR87" s="5">
        <f>IF(B87,E87-_zkfhzg-M87-O87-F87+AQ87,0)</f>
        <v/>
      </c>
      <c r="AS87" s="5">
        <f>AR87-AG87</f>
        <v/>
      </c>
      <c r="AT87" s="5">
        <f>IF(B87,E87-_zkfhzg-M87-O87-F87-S87-AP87+AQ87-IF(AND(A87=_zx5hja,_z2al7i&gt;_zx5hja),U87,0),0)</f>
        <v/>
      </c>
      <c r="AU87" s="5">
        <f>AU86+AS87</f>
        <v/>
      </c>
      <c r="AV87" s="5">
        <f>IF(AND(AU86&lt;0,AU87&gt;=0,AS87&gt;0),1,0)</f>
        <v/>
      </c>
      <c r="AW87" s="5">
        <f>AS87/(1+_z1ltt4)^A87</f>
        <v/>
      </c>
      <c r="AX87" s="5">
        <f>AX86+AW87</f>
        <v/>
      </c>
      <c r="AY87" s="5">
        <f>IF(AND(AX86&lt;0,AX87&gt;=0,AW87&gt;0),1,0)</f>
        <v/>
      </c>
      <c r="AZ87" s="5">
        <f>(_z39asj+_zy2ig8)*C87</f>
        <v/>
      </c>
      <c r="BA87" s="5">
        <f>IF(B87,_zkfhzg+_zdd3mz+_z2y4dt+F87-AQ87,0)</f>
        <v/>
      </c>
      <c r="BB87" s="5">
        <f>IF(AR87=0,BB86,SIGN(AR87))</f>
        <v/>
      </c>
      <c r="BC87" s="5">
        <f>BC86+IF(OR(AR87=0,BB86=0),0,IF(SIGN(AR87)&lt;&gt;BB86,1,0))</f>
        <v/>
      </c>
      <c r="BD87" s="5">
        <f>IF(AS87=0,BD86,SIGN(AS87))</f>
        <v/>
      </c>
      <c r="BE87" s="5">
        <f>BE86+IF(OR(AS87=0,BD86=0),0,IF(SIGN(AS87)&lt;&gt;BD86,1,0))</f>
        <v/>
      </c>
      <c r="BF87" s="5">
        <f>IF(AT87=0,BF86,SIGN(AT87))</f>
        <v/>
      </c>
      <c r="BG87" s="5">
        <f>BG86+IF(OR(AT87=0,BF86=0),0,IF(SIGN(AT87)&lt;&gt;BF86,1,0))</f>
        <v/>
      </c>
    </row>
    <row r="88">
      <c r="A88" s="5" t="n">
        <v>24</v>
      </c>
      <c r="B88" s="5">
        <f>AND(A88&gt;=1,A88&lt;=_zx5hja)</f>
        <v/>
      </c>
      <c r="C88" s="5">
        <f>IF(B88,(1-_zecdlb)^(A88-1),0)</f>
        <v/>
      </c>
      <c r="D88" s="5">
        <f>(_zgk3lw+_z7m6d8)*C88</f>
        <v/>
      </c>
      <c r="E88" s="5">
        <f>IF(B88,D88+_zmztd5-_zdd3mz-_z2y4dt,0)</f>
        <v/>
      </c>
      <c r="F88" s="5">
        <f>IF(AND(B88,A88=_ztfkfy),_z4p8is*_zh30bl,0)</f>
        <v/>
      </c>
      <c r="G88" s="5">
        <f>F88*0.13/(1+0.13)</f>
        <v/>
      </c>
      <c r="H88" s="5">
        <f>F88-G88</f>
        <v/>
      </c>
      <c r="I88" s="5">
        <f>IF(B88,_z7m6d8*C88+_zz1w2z,0)</f>
        <v/>
      </c>
      <c r="J88" s="5">
        <f>I88/(1+0.13)</f>
        <v/>
      </c>
      <c r="K88" s="5">
        <f>I88-J88</f>
        <v/>
      </c>
      <c r="L88" s="5">
        <f>N87+G88</f>
        <v/>
      </c>
      <c r="M88" s="5">
        <f>MAX(0,K88-L88)</f>
        <v/>
      </c>
      <c r="N88" s="5">
        <f>MAX(0,L88-K88)</f>
        <v/>
      </c>
      <c r="O88" s="5">
        <f>M88*0.12</f>
        <v/>
      </c>
      <c r="P88" s="5">
        <f>E88-K88</f>
        <v/>
      </c>
      <c r="Q88" s="5">
        <f>U87</f>
        <v/>
      </c>
      <c r="R88" s="5">
        <f>IF(AND(B88,A88&lt;=_z2al7i),Q88*_zks9j8,0)</f>
        <v/>
      </c>
      <c r="S88" s="5">
        <f>IF(AND(B88,A88&lt;=_z2al7i),_zgsfrl,0)</f>
        <v/>
      </c>
      <c r="T88" s="5">
        <f>S88-R88</f>
        <v/>
      </c>
      <c r="U88" s="5">
        <f>MAX(0,Q88-T88)</f>
        <v/>
      </c>
      <c r="V88" s="5">
        <f>IF(AND(B88,A88&lt;=_zupe8l),_z0jo6h,0)</f>
        <v/>
      </c>
      <c r="W88" s="5">
        <f>IF((_zlt415="是"),IF(A88&lt;=3,0,IF(A88&lt;=6,0.5,1)),1)</f>
        <v/>
      </c>
      <c r="X88" s="5">
        <f>_zrzkf6*W88+(1-_zrzkf6)</f>
        <v/>
      </c>
      <c r="Y88" s="5">
        <f>IF(B88,P88-_zkfhzg-O88-V88-H88,0)</f>
        <v/>
      </c>
      <c r="Z88" s="5">
        <f>MAX(0,-Y87)</f>
        <v/>
      </c>
      <c r="AA88" s="5">
        <f>MIN(Z87,MAX(0,(AD87+AC87+AB87+AA87+Z87)-AE87))</f>
        <v/>
      </c>
      <c r="AB88" s="5">
        <f>MIN(AA87,MAX(0,(AD87+AC87+AB87+AA87)-AE87))</f>
        <v/>
      </c>
      <c r="AC88" s="5">
        <f>MIN(AB87,MAX(0,(AD87+AC87+AB87)-AE87))</f>
        <v/>
      </c>
      <c r="AD88" s="5">
        <f>MIN(AC87,MAX(0,(AD87+AC87)-AE87))</f>
        <v/>
      </c>
      <c r="AE88" s="5">
        <f>MIN(MAX(Y88,0),Z88+AA88+AB88+AC88+AD88)</f>
        <v/>
      </c>
      <c r="AF88" s="5">
        <f>MAX(Y88,0)-AE88</f>
        <v/>
      </c>
      <c r="AG88" s="5">
        <f>AF88*_zk03a3*X88</f>
        <v/>
      </c>
      <c r="AH88" s="5">
        <f>IF(B88,Y88-R88,0)</f>
        <v/>
      </c>
      <c r="AI88" s="5">
        <f>MAX(0,-AH87)</f>
        <v/>
      </c>
      <c r="AJ88" s="5">
        <f>MIN(AI87,MAX(0,(AM87+AL87+AK87+AJ87+AI87)-AN87))</f>
        <v/>
      </c>
      <c r="AK88" s="5">
        <f>MIN(AJ87,MAX(0,(AM87+AL87+AK87+AJ87)-AN87))</f>
        <v/>
      </c>
      <c r="AL88" s="5">
        <f>MIN(AK87,MAX(0,(AM87+AL87+AK87)-AN87))</f>
        <v/>
      </c>
      <c r="AM88" s="5">
        <f>MIN(AL87,MAX(0,(AM87+AL87)-AN87))</f>
        <v/>
      </c>
      <c r="AN88" s="5">
        <f>MIN(MAX(AH88,0),AI88+AJ88+AK88+AL88+AM88)</f>
        <v/>
      </c>
      <c r="AO88" s="5">
        <f>MAX(AH88,0)-AN88</f>
        <v/>
      </c>
      <c r="AP88" s="5">
        <f>AO88*_zk03a3*X88</f>
        <v/>
      </c>
      <c r="AQ88" s="5">
        <f>IF(A88=_zx5hja,_zk1wd3,0)</f>
        <v/>
      </c>
      <c r="AR88" s="5">
        <f>IF(B88,E88-_zkfhzg-M88-O88-F88+AQ88,0)</f>
        <v/>
      </c>
      <c r="AS88" s="5">
        <f>AR88-AG88</f>
        <v/>
      </c>
      <c r="AT88" s="5">
        <f>IF(B88,E88-_zkfhzg-M88-O88-F88-S88-AP88+AQ88-IF(AND(A88=_zx5hja,_z2al7i&gt;_zx5hja),U88,0),0)</f>
        <v/>
      </c>
      <c r="AU88" s="5">
        <f>AU87+AS88</f>
        <v/>
      </c>
      <c r="AV88" s="5">
        <f>IF(AND(AU87&lt;0,AU88&gt;=0,AS88&gt;0),1,0)</f>
        <v/>
      </c>
      <c r="AW88" s="5">
        <f>AS88/(1+_z1ltt4)^A88</f>
        <v/>
      </c>
      <c r="AX88" s="5">
        <f>AX87+AW88</f>
        <v/>
      </c>
      <c r="AY88" s="5">
        <f>IF(AND(AX87&lt;0,AX88&gt;=0,AW88&gt;0),1,0)</f>
        <v/>
      </c>
      <c r="AZ88" s="5">
        <f>(_z39asj+_zy2ig8)*C88</f>
        <v/>
      </c>
      <c r="BA88" s="5">
        <f>IF(B88,_zkfhzg+_zdd3mz+_z2y4dt+F88-AQ88,0)</f>
        <v/>
      </c>
      <c r="BB88" s="5">
        <f>IF(AR88=0,BB87,SIGN(AR88))</f>
        <v/>
      </c>
      <c r="BC88" s="5">
        <f>BC87+IF(OR(AR88=0,BB87=0),0,IF(SIGN(AR88)&lt;&gt;BB87,1,0))</f>
        <v/>
      </c>
      <c r="BD88" s="5">
        <f>IF(AS88=0,BD87,SIGN(AS88))</f>
        <v/>
      </c>
      <c r="BE88" s="5">
        <f>BE87+IF(OR(AS88=0,BD87=0),0,IF(SIGN(AS88)&lt;&gt;BD87,1,0))</f>
        <v/>
      </c>
      <c r="BF88" s="5">
        <f>IF(AT88=0,BF87,SIGN(AT88))</f>
        <v/>
      </c>
      <c r="BG88" s="5">
        <f>BG87+IF(OR(AT88=0,BF87=0),0,IF(SIGN(AT88)&lt;&gt;BF87,1,0))</f>
        <v/>
      </c>
    </row>
    <row r="89">
      <c r="A89" s="5" t="n">
        <v>25</v>
      </c>
      <c r="B89" s="5">
        <f>AND(A89&gt;=1,A89&lt;=_zx5hja)</f>
        <v/>
      </c>
      <c r="C89" s="5">
        <f>IF(B89,(1-_zecdlb)^(A89-1),0)</f>
        <v/>
      </c>
      <c r="D89" s="5">
        <f>(_zgk3lw+_z7m6d8)*C89</f>
        <v/>
      </c>
      <c r="E89" s="5">
        <f>IF(B89,D89+_zmztd5-_zdd3mz-_z2y4dt,0)</f>
        <v/>
      </c>
      <c r="F89" s="5">
        <f>IF(AND(B89,A89=_ztfkfy),_z4p8is*_zh30bl,0)</f>
        <v/>
      </c>
      <c r="G89" s="5">
        <f>F89*0.13/(1+0.13)</f>
        <v/>
      </c>
      <c r="H89" s="5">
        <f>F89-G89</f>
        <v/>
      </c>
      <c r="I89" s="5">
        <f>IF(B89,_z7m6d8*C89+_zz1w2z,0)</f>
        <v/>
      </c>
      <c r="J89" s="5">
        <f>I89/(1+0.13)</f>
        <v/>
      </c>
      <c r="K89" s="5">
        <f>I89-J89</f>
        <v/>
      </c>
      <c r="L89" s="5">
        <f>N88+G89</f>
        <v/>
      </c>
      <c r="M89" s="5">
        <f>MAX(0,K89-L89)</f>
        <v/>
      </c>
      <c r="N89" s="5">
        <f>MAX(0,L89-K89)</f>
        <v/>
      </c>
      <c r="O89" s="5">
        <f>M89*0.12</f>
        <v/>
      </c>
      <c r="P89" s="5">
        <f>E89-K89</f>
        <v/>
      </c>
      <c r="Q89" s="5">
        <f>U88</f>
        <v/>
      </c>
      <c r="R89" s="5">
        <f>IF(AND(B89,A89&lt;=_z2al7i),Q89*_zks9j8,0)</f>
        <v/>
      </c>
      <c r="S89" s="5">
        <f>IF(AND(B89,A89&lt;=_z2al7i),_zgsfrl,0)</f>
        <v/>
      </c>
      <c r="T89" s="5">
        <f>S89-R89</f>
        <v/>
      </c>
      <c r="U89" s="5">
        <f>MAX(0,Q89-T89)</f>
        <v/>
      </c>
      <c r="V89" s="5">
        <f>IF(AND(B89,A89&lt;=_zupe8l),_z0jo6h,0)</f>
        <v/>
      </c>
      <c r="W89" s="5">
        <f>IF((_zlt415="是"),IF(A89&lt;=3,0,IF(A89&lt;=6,0.5,1)),1)</f>
        <v/>
      </c>
      <c r="X89" s="5">
        <f>_zrzkf6*W89+(1-_zrzkf6)</f>
        <v/>
      </c>
      <c r="Y89" s="5">
        <f>IF(B89,P89-_zkfhzg-O89-V89-H89,0)</f>
        <v/>
      </c>
      <c r="Z89" s="5">
        <f>MAX(0,-Y88)</f>
        <v/>
      </c>
      <c r="AA89" s="5">
        <f>MIN(Z88,MAX(0,(AD88+AC88+AB88+AA88+Z88)-AE88))</f>
        <v/>
      </c>
      <c r="AB89" s="5">
        <f>MIN(AA88,MAX(0,(AD88+AC88+AB88+AA88)-AE88))</f>
        <v/>
      </c>
      <c r="AC89" s="5">
        <f>MIN(AB88,MAX(0,(AD88+AC88+AB88)-AE88))</f>
        <v/>
      </c>
      <c r="AD89" s="5">
        <f>MIN(AC88,MAX(0,(AD88+AC88)-AE88))</f>
        <v/>
      </c>
      <c r="AE89" s="5">
        <f>MIN(MAX(Y89,0),Z89+AA89+AB89+AC89+AD89)</f>
        <v/>
      </c>
      <c r="AF89" s="5">
        <f>MAX(Y89,0)-AE89</f>
        <v/>
      </c>
      <c r="AG89" s="5">
        <f>AF89*_zk03a3*X89</f>
        <v/>
      </c>
      <c r="AH89" s="5">
        <f>IF(B89,Y89-R89,0)</f>
        <v/>
      </c>
      <c r="AI89" s="5">
        <f>MAX(0,-AH88)</f>
        <v/>
      </c>
      <c r="AJ89" s="5">
        <f>MIN(AI88,MAX(0,(AM88+AL88+AK88+AJ88+AI88)-AN88))</f>
        <v/>
      </c>
      <c r="AK89" s="5">
        <f>MIN(AJ88,MAX(0,(AM88+AL88+AK88+AJ88)-AN88))</f>
        <v/>
      </c>
      <c r="AL89" s="5">
        <f>MIN(AK88,MAX(0,(AM88+AL88+AK88)-AN88))</f>
        <v/>
      </c>
      <c r="AM89" s="5">
        <f>MIN(AL88,MAX(0,(AM88+AL88)-AN88))</f>
        <v/>
      </c>
      <c r="AN89" s="5">
        <f>MIN(MAX(AH89,0),AI89+AJ89+AK89+AL89+AM89)</f>
        <v/>
      </c>
      <c r="AO89" s="5">
        <f>MAX(AH89,0)-AN89</f>
        <v/>
      </c>
      <c r="AP89" s="5">
        <f>AO89*_zk03a3*X89</f>
        <v/>
      </c>
      <c r="AQ89" s="5">
        <f>IF(A89=_zx5hja,_zk1wd3,0)</f>
        <v/>
      </c>
      <c r="AR89" s="5">
        <f>IF(B89,E89-_zkfhzg-M89-O89-F89+AQ89,0)</f>
        <v/>
      </c>
      <c r="AS89" s="5">
        <f>AR89-AG89</f>
        <v/>
      </c>
      <c r="AT89" s="5">
        <f>IF(B89,E89-_zkfhzg-M89-O89-F89-S89-AP89+AQ89-IF(AND(A89=_zx5hja,_z2al7i&gt;_zx5hja),U89,0),0)</f>
        <v/>
      </c>
      <c r="AU89" s="5">
        <f>AU88+AS89</f>
        <v/>
      </c>
      <c r="AV89" s="5">
        <f>IF(AND(AU88&lt;0,AU89&gt;=0,AS89&gt;0),1,0)</f>
        <v/>
      </c>
      <c r="AW89" s="5">
        <f>AS89/(1+_z1ltt4)^A89</f>
        <v/>
      </c>
      <c r="AX89" s="5">
        <f>AX88+AW89</f>
        <v/>
      </c>
      <c r="AY89" s="5">
        <f>IF(AND(AX88&lt;0,AX89&gt;=0,AW89&gt;0),1,0)</f>
        <v/>
      </c>
      <c r="AZ89" s="5">
        <f>(_z39asj+_zy2ig8)*C89</f>
        <v/>
      </c>
      <c r="BA89" s="5">
        <f>IF(B89,_zkfhzg+_zdd3mz+_z2y4dt+F89-AQ89,0)</f>
        <v/>
      </c>
      <c r="BB89" s="5">
        <f>IF(AR89=0,BB88,SIGN(AR89))</f>
        <v/>
      </c>
      <c r="BC89" s="5">
        <f>BC88+IF(OR(AR89=0,BB88=0),0,IF(SIGN(AR89)&lt;&gt;BB88,1,0))</f>
        <v/>
      </c>
      <c r="BD89" s="5">
        <f>IF(AS89=0,BD88,SIGN(AS89))</f>
        <v/>
      </c>
      <c r="BE89" s="5">
        <f>BE88+IF(OR(AS89=0,BD88=0),0,IF(SIGN(AS89)&lt;&gt;BD88,1,0))</f>
        <v/>
      </c>
      <c r="BF89" s="5">
        <f>IF(AT89=0,BF88,SIGN(AT89))</f>
        <v/>
      </c>
      <c r="BG89" s="5">
        <f>BG88+IF(OR(AT89=0,BF88=0),0,IF(SIGN(AT89)&lt;&gt;BF88,1,0))</f>
        <v/>
      </c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</row>
    <row r="91">
      <c r="A91" s="5" t="inlineStr">
        <is>
          <t>chk_pre_lo</t>
        </is>
      </c>
      <c r="B91" s="5">
        <f>SUMPRODUCT(_z9arcc,0.01^-_zc53rh)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</row>
    <row r="92">
      <c r="A92" s="5" t="inlineStr">
        <is>
          <t>chk_pre_hi</t>
        </is>
      </c>
      <c r="B92" s="5">
        <f>SUMPRODUCT(_z9arcc,4^-_zc53rh)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</row>
    <row r="93">
      <c r="A93" s="5" t="inlineStr">
        <is>
          <t>chk_post_lo</t>
        </is>
      </c>
      <c r="B93" s="5">
        <f>SUMPRODUCT(_ze1s6n,0.01^-_zc53rh)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</row>
    <row r="94">
      <c r="A94" s="5" t="inlineStr">
        <is>
          <t>chk_post_hi</t>
        </is>
      </c>
      <c r="B94" s="5">
        <f>SUMPRODUCT(_ze1s6n,4^-_zc53rh)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</row>
    <row r="95">
      <c r="A95" s="5" t="inlineStr">
        <is>
          <t>chk_eq_lo</t>
        </is>
      </c>
      <c r="B95" s="5">
        <f>SUMPRODUCT(_zfbj01,0.01^-_zc53rh)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</row>
    <row r="96">
      <c r="A96" s="5" t="inlineStr">
        <is>
          <t>chk_eq_hi</t>
        </is>
      </c>
      <c r="B96" s="5">
        <f>SUMPRODUCT(_zfbj01,4^-_zc53rh)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</row>
    <row r="97">
      <c r="A97" s="5" t="inlineStr">
        <is>
          <t>irr_pre</t>
        </is>
      </c>
      <c r="B97" s="5">
        <f>IF(_z9rhi7&gt;25,"运营期超25年·请用网页版测算",IF(_zsqbm8*_zzj3wj&gt;0,IF(BC89&gt;1,"非常规现金流，须人工复核","全周期未回收"),IFERROR(IRR(_z9arcc),"—")))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</row>
    <row r="98">
      <c r="A98" s="5" t="inlineStr">
        <is>
          <t>irr_post</t>
        </is>
      </c>
      <c r="B98" s="5">
        <f>IF(_z9rhi7&gt;25,"运营期超25年·请用网页版测算",IF(_zqsho0*_zpy13v&gt;0,IF(BE89&gt;1,"非常规现金流，须人工复核","全周期未回收"),IFERROR(IRR(_ze1s6n),"—")))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</row>
    <row r="99">
      <c r="A99" s="5" t="inlineStr">
        <is>
          <t>irr_eq</t>
        </is>
      </c>
      <c r="B99" s="5">
        <f>IF(_z9rhi7&gt;25,"运营期超25年·请用网页版测算",IF(_zxdbxd*_ztsxiq&gt;0,IF(BG89&gt;1,"非常规现金流，须人工复核","全周期未回收"),IFERROR(IRR(_zfbj01),"—")))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</row>
    <row r="100">
      <c r="A100" s="5" t="inlineStr">
        <is>
          <t>npv</t>
        </is>
      </c>
      <c r="B100" s="5">
        <f>IF(_z9rhi7&gt;25,"运营期超25年·请用网页版测算",INDEX(_ze1s6n,1)+NPV(_z1ltt4,_zlo46y))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</row>
    <row r="101">
      <c r="A101" s="5" t="inlineStr">
        <is>
          <t>payback_s</t>
        </is>
      </c>
      <c r="B101" s="5">
        <f>IF(_z9rhi7&gt;25,"运营期超25年·请用网页版测算",IFERROR(MATCH(1,_z4ca63,0)-2+ABS(INDEX(_zeuabd,MATCH(1,_z4ca63,0)-1))/INDEX(_ze1s6n,MATCH(1,_z4ca63,0)),"超运营期"))</f>
        <v/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</row>
    <row r="102">
      <c r="A102" s="5" t="inlineStr">
        <is>
          <t>payback_d</t>
        </is>
      </c>
      <c r="B102" s="5">
        <f>IF(_z9rhi7&gt;25,"运营期超25年·请用网页版测算",IFERROR(MATCH(1,_zo2cnc,0)-2+ABS(INDEX(_zxzots,MATCH(1,_zo2cnc,0)-1))/INDEX(_zxlxm4,MATCH(1,_zo2cnc,0)),"超运营期"))</f>
        <v/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</row>
    <row r="103">
      <c r="A103" s="5" t="inlineStr">
        <is>
          <t>lcoe</t>
        </is>
      </c>
      <c r="B103" s="5">
        <f>IF(_z9rhi7&gt;25,"运营期超25年·请用网页版测算",IF(NPV(_z1ltt4,_zgl7j8)&gt;0,(_zbb0h1+NPV(_z1ltt4,_zzgx74))/NPV(_z1ltt4,_zgl7j8),"—"))</f>
        <v/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F07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介子九维 JIEZIJIUWEI</dc:creator>
  <dc:title xmlns:dc="http://purl.org/dc/elements/1.1/">智能微电网经济评价 v3.3</dc:title>
  <dc:description xmlns:dc="http://purl.org/dc/elements/1.1/">本工具由介子九维（JIEZIJIUWEI）制作并享有著作权。</dc:description>
  <dc:subject xmlns:dc="http://purl.org/dc/elements/1.1/">新能源测算工具箱</dc:subject>
  <dcterms:created xmlns:dcterms="http://purl.org/dc/terms/" xmlns:xsi="http://www.w3.org/2001/XMLSchema-instance" xsi:type="dcterms:W3CDTF">2026-07-26T15:27:53Z</dcterms:created>
  <dcterms:modified xmlns:dcterms="http://purl.org/dc/terms/" xmlns:xsi="http://www.w3.org/2001/XMLSchema-instance" xsi:type="dcterms:W3CDTF">2026-07-26T15:27:53Z</dcterms:modified>
  <cp:lastModifiedBy>介子九维 JIEZIJIUWEI</cp:lastModifiedBy>
</cp:coreProperties>
</file>