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F07E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_参数" sheetId="3" state="veryHidden" r:id="rId3"/>
    <sheet xmlns:r="http://schemas.openxmlformats.org/officeDocument/2006/relationships" name="测算" sheetId="4" state="visible" r:id="rId4"/>
    <sheet xmlns:r="http://schemas.openxmlformats.org/officeDocument/2006/relationships" name="_引擎" sheetId="5" state="veryHidden" r:id="rId5"/>
  </sheets>
  <definedNames>
    <definedName name="_zqgx7v">'_参数'!$H$3:$H$36</definedName>
    <definedName name="_zk618t">'_参数'!$A$3:$A$132</definedName>
    <definedName name="_zixjw6">'_参数'!$D$3:$D$132</definedName>
    <definedName name="_zwjvbx">'_参数'!$E$3:$E$132</definedName>
    <definedName name="_zf8jb3">'_参数'!$F$3:$F$132</definedName>
    <definedName name="_zkrpcw">'测算'!$C$5</definedName>
    <definedName name="_zlj03i">'测算'!$C$6</definedName>
    <definedName name="_z3xkci">'测算'!$C$7</definedName>
    <definedName name="_zcshgi">'测算'!$C$8</definedName>
    <definedName name="_zhsdpd">'测算'!$C$9</definedName>
    <definedName name="_zghnzo">'测算'!$C$12</definedName>
    <definedName name="_z82y2b">'测算'!$C$13</definedName>
    <definedName name="_zp8xhg">'测算'!$C$14</definedName>
    <definedName name="_zx32ce">'测算'!$C$15</definedName>
    <definedName name="_zksy9m">'测算'!$C$16</definedName>
    <definedName name="_z35wsg">'测算'!$C$20</definedName>
    <definedName name="_zix1lp">'测算'!$C$21</definedName>
    <definedName name="_z4kl0k">'测算'!$C$22</definedName>
    <definedName name="_z98gva">'测算'!$C$23</definedName>
    <definedName name="_zrb6fn">'测算'!$C$24</definedName>
    <definedName name="_zjttpb">'测算'!$C$25</definedName>
    <definedName name="_zbhssj">'测算'!$C$26</definedName>
    <definedName name="_zzoaus">'测算'!$C$27</definedName>
    <definedName name="_zftf5w">'测算'!$C$30</definedName>
    <definedName name="_z6mxd8">'测算'!$C$31</definedName>
    <definedName name="_zvtsqd">'测算'!$C$32</definedName>
    <definedName name="_zg5443">'测算'!$C$33</definedName>
    <definedName name="_zk8d4f">'测算'!$C$36</definedName>
    <definedName name="_zhw65s">'测算'!$C$37</definedName>
    <definedName name="_zf2rqb">'测算'!$C$38</definedName>
    <definedName name="_zsw7bq">'测算'!$C$39</definedName>
    <definedName name="_z3m5k2">'测算'!$C$40</definedName>
    <definedName name="_z5ctcx">'测算'!$C$41</definedName>
    <definedName name="_zysee0">'测算'!$C$42</definedName>
    <definedName name="_z78i0e">'测算'!$C$43</definedName>
    <definedName name="_zw04od">'测算'!$C$44</definedName>
    <definedName name="_z8d2zq">'测算'!$C$45</definedName>
    <definedName name="_zzvbgr">'测算'!$C$48</definedName>
    <definedName name="_zzl39o">'测算'!$C$49</definedName>
    <definedName name="_zm9z4k">'测算'!$C$50</definedName>
    <definedName name="_zbf04s">'测算'!$C$51</definedName>
    <definedName name="_z1v75m">'测算'!$C$52</definedName>
    <definedName name="_zyywx7">'测算'!$C$53</definedName>
    <definedName name="_z0ek84">'测算'!$C$54</definedName>
    <definedName name="_z7fj0w">'测算'!$C$55</definedName>
    <definedName name="_zia8ld">'测算'!$C$56</definedName>
    <definedName name="_z5jv12">'测算'!$C$57</definedName>
    <definedName name="_zl8371">'测算'!$C$58</definedName>
    <definedName name="_z5sfpo">'测算'!$C$59</definedName>
    <definedName name="_z7ukau">'测算'!$C$60</definedName>
    <definedName name="_zno06c">'测算'!$C$61</definedName>
    <definedName name="_ze4vc7">'测算'!$C$62</definedName>
    <definedName name="_zqudm6">'测算'!$C$63</definedName>
    <definedName name="_z52v2x">'测算'!$C$64</definedName>
    <definedName name="_zs8hxw">'测算'!$C$65</definedName>
    <definedName name="_zpnfsf">'测算'!$C$66</definedName>
    <definedName name="_zawtbl">'测算'!$C$67</definedName>
    <definedName name="_ziqmyk">'测算'!$C$68</definedName>
    <definedName name="_z0m7ys">'测算'!$C$69</definedName>
    <definedName name="_zstij9">'_引擎'!$B$2</definedName>
    <definedName name="_zs8nv3">'_引擎'!$B$3</definedName>
    <definedName name="_zt11ik">'_引擎'!$B$4</definedName>
    <definedName name="_z5gr99">'_引擎'!$B$5</definedName>
    <definedName name="_zsbxps">'_引擎'!$B$6</definedName>
    <definedName name="_zkt2jm">'_引擎'!$B$7</definedName>
    <definedName name="_zy8wik">'_引擎'!$B$8</definedName>
    <definedName name="_zl0ecr">'_引擎'!$B$9</definedName>
    <definedName name="_zm650r">'_引擎'!$B$10</definedName>
    <definedName name="_zektcz">'_引擎'!$B$11</definedName>
    <definedName name="_zdmffp">'_引擎'!$B$12</definedName>
    <definedName name="_z928ab">'_引擎'!$B$13</definedName>
    <definedName name="_zqnyts">'_引擎'!$B$14</definedName>
    <definedName name="_z9r4dl">'_引擎'!$B$15</definedName>
    <definedName name="_ze6p1m">'_引擎'!$B$16</definedName>
    <definedName name="_ztkj9g">'_引擎'!$B$17</definedName>
    <definedName name="_zpzqxb">'_引擎'!$B$18</definedName>
    <definedName name="_zqhyli">'_引擎'!$B$19</definedName>
    <definedName name="_za7fy7">'_引擎'!$B$20</definedName>
    <definedName name="_zvy62p">'_引擎'!$B$21</definedName>
    <definedName name="_z3179u">'_引擎'!$B$22</definedName>
    <definedName name="_zfzfsr">'_引擎'!$B$23</definedName>
    <definedName name="_zmorcm">'_引擎'!$B$24</definedName>
    <definedName name="_zhg1yd">'_引擎'!$B$25</definedName>
    <definedName name="_zc82pq">'_引擎'!$B$26</definedName>
    <definedName name="_zkh06o">'_引擎'!$B$27</definedName>
    <definedName name="_z517d3">'_引擎'!$B$28</definedName>
    <definedName name="_z67r2o">'_引擎'!$B$29</definedName>
    <definedName name="_zjqqhp">'_引擎'!$B$30</definedName>
    <definedName name="_z1tt59">'_引擎'!$B$31</definedName>
    <definedName name="_z3lk4m">'_引擎'!$B$32</definedName>
    <definedName name="_zwp6v3">'_引擎'!$B$33</definedName>
    <definedName name="_zhc22k">'_引擎'!$B$34</definedName>
    <definedName name="_z32w4e">'_引擎'!$B$35</definedName>
    <definedName name="_zrzkf6">'_引擎'!$B$36</definedName>
    <definedName name="_zx5hja">'_引擎'!$B$37</definedName>
    <definedName name="_zn0hoh">'_引擎'!$B$38</definedName>
    <definedName name="_zmqr32">'_引擎'!$B$39</definedName>
    <definedName name="_z2al7i">'_引擎'!$B$40</definedName>
    <definedName name="_zgsfrl">'_引擎'!$B$41</definedName>
    <definedName name="_z2nx0n">'_引擎'!$B$42</definedName>
    <definedName name="_z6o34p">'_引擎'!$B$43</definedName>
    <definedName name="_zf6jpb">'_引擎'!$B$44</definedName>
    <definedName name="_zh2s1v">'_引擎'!$B$45</definedName>
    <definedName name="_z9qfry">'_引擎'!$B$46</definedName>
    <definedName name="_zsp8uj">'_引擎'!$B$47</definedName>
    <definedName name="_zk7d33">'_引擎'!$B$48</definedName>
    <definedName name="_zupe8l">'_引擎'!$B$49</definedName>
    <definedName name="_zb0m7l">'_引擎'!$B$50</definedName>
    <definedName name="_zm1wss">'_引擎'!$B$51</definedName>
    <definedName name="_zfraqw">'_引擎'!$B$52</definedName>
    <definedName name="_zkckgz">'_引擎'!$B$53</definedName>
    <definedName name="_zvqyde">'_引擎'!$B$54</definedName>
    <definedName name="_zhf3a4">'_引擎'!$B$55</definedName>
    <definedName name="_zdqt32">'_引擎'!$B$56</definedName>
    <definedName name="_zkfhzg">'_引擎'!$B$57</definedName>
    <definedName name="_z9itej">'_引擎'!$B$58</definedName>
    <definedName name="_znvyxf">'_引擎'!$B$59</definedName>
    <definedName name="_zlajvq">'_引擎'!$B$60</definedName>
    <definedName name="_zyh8pc">'_引擎'!$B$61</definedName>
    <definedName name="_ztfkfy">'_引擎'!$B$62</definedName>
    <definedName name="_zu5jm5">'_引擎'!$AT$66:$AT$91</definedName>
    <definedName name="_zzpzma">'_引擎'!$AU$66:$AU$91</definedName>
    <definedName name="_z47e1n">'_引擎'!$AV$66:$AV$91</definedName>
    <definedName name="_zhb49w">'_引擎'!$AW$66:$AW$91</definedName>
    <definedName name="_zqxysi">'_引擎'!$AX$66:$AX$91</definedName>
    <definedName name="_zd9fqm">'_引擎'!$AY$66:$AY$91</definedName>
    <definedName name="_zn8bpc">'_引擎'!$AZ$66:$AZ$91</definedName>
    <definedName name="_zcoe8g">'_引擎'!$BA$66:$BA$91</definedName>
    <definedName name="_z8varn">'_引擎'!$BB$66:$BB$91</definedName>
    <definedName name="_zh2b2o">'_引擎'!$BC$66:$BC$91</definedName>
    <definedName name="_zylg1g">'_引擎'!$AU$67:$AU$91</definedName>
    <definedName name="_zs6qdd">'_引擎'!$BB$67:$BB$91</definedName>
    <definedName name="_zzvb05">'_引擎'!$BC$67:$BC$91</definedName>
    <definedName name="_zmuh0g">'_引擎'!$A$66:$A$91</definedName>
    <definedName name="_zsqbm8">'_引擎'!$B$93</definedName>
    <definedName name="_zzj3wj">'_引擎'!$B$94</definedName>
    <definedName name="_zqsho0">'_引擎'!$B$95</definedName>
    <definedName name="_zpy13v">'_引擎'!$B$96</definedName>
    <definedName name="_zxdbxd">'_引擎'!$B$97</definedName>
    <definedName name="_ztsxiq">'_引擎'!$B$98</definedName>
    <definedName name="_zvfwiv">'_引擎'!$B$99</definedName>
    <definedName name="_z3ewnh">'_引擎'!$B$100</definedName>
    <definedName name="_z2tbwe">'_引擎'!$B$101</definedName>
    <definedName name="_z8sr6o">'_引擎'!$B$102</definedName>
    <definedName name="_z3lcbu">'_引擎'!$B$103</definedName>
    <definedName name="_z4kqsx">'_引擎'!$B$104</definedName>
    <definedName name="_zehl1m">'_引擎'!$B$105</definedName>
    <definedName name="_JZJW_ORIGIN" hidden="1">"JIEZIJIUWEI-2026-V1"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###"/>
    <numFmt numFmtId="166" formatCode="0.######%"/>
    <numFmt numFmtId="167" formatCode="#,##0.0"/>
    <numFmt numFmtId="168" formatCode="0.0%"/>
    <numFmt numFmtId="169" formatCode="0.0"/>
    <numFmt numFmtId="170" formatCode="0.000"/>
  </numFmts>
  <fonts count="11">
    <font>
      <name val="Calibri"/>
      <family val="2"/>
      <color theme="1"/>
      <sz val="11"/>
      <scheme val="minor"/>
    </font>
    <font>
      <name val="微软雅黑"/>
      <b val="1"/>
      <color rgb="001A1A1A"/>
      <sz val="16"/>
    </font>
    <font>
      <name val="微软雅黑"/>
      <color rgb="007F7F7F"/>
      <sz val="9"/>
    </font>
    <font>
      <name val="微软雅黑"/>
      <color rgb="001A1A1A"/>
      <sz val="10"/>
    </font>
    <font>
      <name val="微软雅黑"/>
      <b val="1"/>
      <color rgb="001F3864"/>
      <sz val="10"/>
    </font>
    <font>
      <name val="微软雅黑"/>
      <b val="1"/>
      <color rgb="001A1A1A"/>
      <sz val="13"/>
    </font>
    <font>
      <name val="微软雅黑"/>
      <b val="1"/>
      <color rgb="00FFFFFF"/>
      <sz val="10"/>
    </font>
    <font>
      <name val="微软雅黑"/>
      <b val="1"/>
      <color rgb="000000C0"/>
      <sz val="10"/>
    </font>
    <font>
      <name val="微软雅黑"/>
      <b val="1"/>
      <color rgb="00BF8F00"/>
      <sz val="9"/>
    </font>
    <font>
      <name val="微软雅黑"/>
      <color rgb="007F7F7F"/>
      <sz val="10"/>
    </font>
    <font>
      <name val="微软雅黑"/>
      <b val="1"/>
      <color rgb="001A1A1A"/>
      <sz val="2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0"/>
      </patternFill>
    </fill>
  </fills>
  <borders count="24">
    <border>
      <left/>
      <right/>
      <top/>
      <bottom/>
      <diagonal/>
    </border>
    <border>
      <bottom style="medium">
        <color rgb="001F3864"/>
      </bottom>
    </border>
    <border>
      <bottom style="thin">
        <color rgb="001F3864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bottom style="thin">
        <color rgb="00D9D9D9"/>
      </bottom>
    </border>
    <border>
      <left style="thin">
        <color rgb="00BFBFBF"/>
      </left>
      <top style="thin">
        <color rgb="00BFBFBF"/>
      </top>
      <bottom style="hair">
        <color rgb="00D9D9D9"/>
      </bottom>
    </border>
    <border>
      <top style="thin">
        <color rgb="00BFBFBF"/>
      </top>
      <bottom style="hair">
        <color rgb="00D9D9D9"/>
      </bottom>
    </border>
    <border>
      <right style="thin">
        <color rgb="00BFBFBF"/>
      </right>
      <top style="thin">
        <color rgb="00BFBFBF"/>
      </top>
      <bottom style="hair">
        <color rgb="00D9D9D9"/>
      </bottom>
    </border>
    <border>
      <left style="thin">
        <color rgb="00BFBFBF"/>
      </left>
      <bottom style="hair">
        <color rgb="00D9D9D9"/>
      </bottom>
    </border>
    <border>
      <bottom style="hair">
        <color rgb="00D9D9D9"/>
      </bottom>
    </border>
    <border>
      <right style="thin">
        <color rgb="00BFBFBF"/>
      </right>
      <bottom style="hair">
        <color rgb="00D9D9D9"/>
      </bottom>
    </border>
    <border>
      <left style="thin">
        <color rgb="00BFBFBF"/>
      </left>
      <bottom style="thin">
        <color rgb="00BFBFBF"/>
      </bottom>
    </border>
    <border>
      <bottom style="thin">
        <color rgb="00BFBFBF"/>
      </bottom>
    </border>
    <border>
      <right style="thin">
        <color rgb="00BFBFBF"/>
      </right>
      <bottom style="thin">
        <color rgb="00BFBFBF"/>
      </bottom>
    </border>
    <border>
      <left style="thin">
        <color rgb="00BFBFBF"/>
      </left>
      <top style="thin">
        <color rgb="00BFBFBF"/>
      </top>
      <bottom style="medium">
        <color rgb="001F3864"/>
      </bottom>
    </border>
    <border>
      <top style="thin">
        <color rgb="00BFBFBF"/>
      </top>
      <bottom style="medium">
        <color rgb="001F3864"/>
      </bottom>
    </border>
    <border>
      <right style="thin">
        <color rgb="00BFBFBF"/>
      </right>
      <top style="thin">
        <color rgb="00BFBFBF"/>
      </top>
      <bottom style="medium">
        <color rgb="001F3864"/>
      </bottom>
    </border>
    <border>
      <left/>
      <right/>
      <top style="medium">
        <color rgb="001F3864"/>
      </top>
      <bottom/>
    </border>
    <border>
      <left/>
      <right/>
      <top/>
      <bottom style="hair">
        <color rgb="00D9D9D9"/>
      </bottom>
    </border>
    <border>
      <left/>
      <right style="hair">
        <color rgb="00D9D9D9"/>
      </right>
      <top style="medium">
        <color rgb="001F3864"/>
      </top>
      <bottom/>
    </border>
    <border>
      <left/>
      <right style="hair">
        <color rgb="00D9D9D9"/>
      </right>
      <top/>
      <bottom/>
    </border>
    <border>
      <left/>
      <right style="hair">
        <color rgb="00D9D9D9"/>
      </right>
      <top/>
      <bottom style="hair">
        <color rgb="00D9D9D9"/>
      </bottom>
    </border>
    <border>
      <left/>
      <right/>
      <top style="hair">
        <color rgb="00D9D9D9"/>
      </top>
      <bottom/>
    </border>
    <border>
      <left/>
      <right/>
      <top style="hair">
        <color rgb="00D9D9D9"/>
      </top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Protection="1" pivotButton="0" quotePrefix="0" xfId="0">
      <protection locked="1" hidden="1"/>
    </xf>
    <xf numFmtId="0" fontId="2" fillId="0" borderId="0" applyAlignment="1" applyProtection="1" pivotButton="0" quotePrefix="0" xfId="0">
      <alignment vertical="top" wrapText="1"/>
      <protection locked="1" hidden="1"/>
    </xf>
    <xf numFmtId="0" fontId="3" fillId="0" borderId="0" applyAlignment="1" applyProtection="1" pivotButton="0" quotePrefix="0" xfId="0">
      <alignment vertical="top" wrapText="1"/>
      <protection locked="1" hidden="1"/>
    </xf>
    <xf numFmtId="0" fontId="4" fillId="0" borderId="0" applyAlignment="1" applyProtection="1" pivotButton="0" quotePrefix="0" xfId="0">
      <alignment vertical="top" wrapText="1"/>
      <protection locked="1" hidden="1"/>
    </xf>
    <xf numFmtId="0" fontId="0" fillId="0" borderId="0" applyProtection="1" pivotButton="0" quotePrefix="0" xfId="0">
      <protection locked="1" hidden="1"/>
    </xf>
    <xf numFmtId="0" fontId="1" fillId="0" borderId="0" applyAlignment="1" applyProtection="1" pivotButton="0" quotePrefix="0" xfId="0">
      <alignment horizontal="left" vertical="center"/>
      <protection locked="1" hidden="1"/>
    </xf>
    <xf numFmtId="0" fontId="9" fillId="0" borderId="0" applyAlignment="1" applyProtection="1" pivotButton="0" quotePrefix="0" xfId="0">
      <alignment horizontal="right" vertical="center"/>
      <protection locked="1" hidden="1"/>
    </xf>
    <xf numFmtId="0" fontId="2" fillId="0" borderId="0" applyAlignment="1" applyProtection="1" pivotButton="0" quotePrefix="0" xfId="0">
      <alignment horizontal="left" vertical="center"/>
      <protection locked="1" hidden="1"/>
    </xf>
    <xf numFmtId="0" fontId="2" fillId="0" borderId="17" applyAlignment="1" applyProtection="1" pivotButton="0" quotePrefix="0" xfId="0">
      <alignment horizontal="center" vertical="center"/>
      <protection locked="1" hidden="1"/>
    </xf>
    <xf numFmtId="0" fontId="0" fillId="0" borderId="17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10" fontId="10" fillId="0" borderId="0" applyAlignment="1" applyProtection="1" pivotButton="0" quotePrefix="0" xfId="0">
      <alignment horizontal="center" vertical="center"/>
      <protection locked="1" hidden="1"/>
    </xf>
    <xf numFmtId="0" fontId="0" fillId="0" borderId="20" applyProtection="1" pivotButton="0" quotePrefix="0" xfId="0">
      <protection locked="1" hidden="1"/>
    </xf>
    <xf numFmtId="3" fontId="10" fillId="0" borderId="0" applyAlignment="1" applyProtection="1" pivotButton="0" quotePrefix="0" xfId="0">
      <alignment horizontal="center" vertical="center"/>
      <protection locked="1" hidden="1"/>
    </xf>
    <xf numFmtId="169" fontId="10" fillId="0" borderId="0" applyAlignment="1" applyProtection="1" pivotButton="0" quotePrefix="0" xfId="0">
      <alignment horizontal="center" vertical="center"/>
      <protection locked="1" hidden="1"/>
    </xf>
    <xf numFmtId="170" fontId="10" fillId="0" borderId="0" applyAlignment="1" applyProtection="1" pivotButton="0" quotePrefix="0" xfId="0">
      <alignment horizontal="center" vertical="center"/>
      <protection locked="1" hidden="1"/>
    </xf>
    <xf numFmtId="0" fontId="2" fillId="0" borderId="18" applyAlignment="1" applyProtection="1" pivotButton="0" quotePrefix="0" xfId="0">
      <alignment horizontal="center" vertical="center"/>
      <protection locked="1" hidden="1"/>
    </xf>
    <xf numFmtId="0" fontId="0" fillId="0" borderId="18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2" fillId="0" borderId="22" applyAlignment="1" applyProtection="1" pivotButton="0" quotePrefix="0" xfId="0">
      <alignment horizontal="left" vertical="center"/>
      <protection locked="1" hidden="1"/>
    </xf>
    <xf numFmtId="0" fontId="0" fillId="0" borderId="23" applyProtection="1" pivotButton="0" quotePrefix="0" xfId="0">
      <protection locked="1" hidden="1"/>
    </xf>
    <xf numFmtId="0" fontId="2" fillId="0" borderId="22" applyAlignment="1" applyProtection="1" pivotButton="0" quotePrefix="0" xfId="0">
      <alignment horizontal="right" vertical="center"/>
      <protection locked="1" hidden="1"/>
    </xf>
    <xf numFmtId="0" fontId="5" fillId="0" borderId="0" applyProtection="1" pivotButton="0" quotePrefix="0" xfId="0">
      <protection locked="1" hidden="1"/>
    </xf>
    <xf numFmtId="0" fontId="2" fillId="0" borderId="0" applyProtection="1" pivotButton="0" quotePrefix="0" xfId="0">
      <protection locked="1" hidden="1"/>
    </xf>
    <xf numFmtId="0" fontId="6" fillId="2" borderId="1" applyAlignment="1" applyProtection="1" pivotButton="0" quotePrefix="0" xfId="0">
      <alignment horizontal="center" vertical="center" wrapText="1"/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2" applyProtection="1" pivotButton="0" quotePrefix="0" xfId="0">
      <protection locked="1" hidden="1"/>
    </xf>
    <xf numFmtId="0" fontId="3" fillId="0" borderId="5" applyProtection="1" pivotButton="0" quotePrefix="0" xfId="0">
      <protection locked="1" hidden="1"/>
    </xf>
    <xf numFmtId="10" fontId="3" fillId="0" borderId="6" applyAlignment="1" applyProtection="1" pivotButton="0" quotePrefix="0" xfId="0">
      <alignment horizontal="right"/>
      <protection locked="1" hidden="1"/>
    </xf>
    <xf numFmtId="0" fontId="2" fillId="0" borderId="7" applyProtection="1" pivotButton="0" quotePrefix="0" xfId="0">
      <protection locked="1" hidden="1"/>
    </xf>
    <xf numFmtId="0" fontId="3" fillId="0" borderId="0" applyProtection="1" pivotButton="0" quotePrefix="0" xfId="0">
      <protection locked="1" hidden="1"/>
    </xf>
    <xf numFmtId="0" fontId="7" fillId="3" borderId="3" applyAlignment="1" applyProtection="1" pivotButton="0" quotePrefix="0" xfId="0">
      <alignment horizontal="center"/>
      <protection locked="0" hidden="0"/>
    </xf>
    <xf numFmtId="0" fontId="3" fillId="0" borderId="8" applyProtection="1" pivotButton="0" quotePrefix="0" xfId="0">
      <protection locked="1" hidden="1"/>
    </xf>
    <xf numFmtId="10" fontId="3" fillId="0" borderId="9" applyAlignment="1" applyProtection="1" pivotButton="0" quotePrefix="0" xfId="0">
      <alignment horizontal="right"/>
      <protection locked="1" hidden="1"/>
    </xf>
    <xf numFmtId="0" fontId="2" fillId="0" borderId="10" applyProtection="1" pivotButton="0" quotePrefix="0" xfId="0">
      <protection locked="1" hidden="1"/>
    </xf>
    <xf numFmtId="167" fontId="3" fillId="0" borderId="9" applyAlignment="1" applyProtection="1" pivotButton="0" quotePrefix="0" xfId="0">
      <alignment horizontal="right"/>
      <protection locked="1" hidden="1"/>
    </xf>
    <xf numFmtId="2" fontId="3" fillId="0" borderId="9" applyAlignment="1" applyProtection="1" pivotButton="0" quotePrefix="0" xfId="0">
      <alignment horizontal="right"/>
      <protection locked="1" hidden="1"/>
    </xf>
    <xf numFmtId="164" fontId="3" fillId="0" borderId="9" applyAlignment="1" applyProtection="1" pivotButton="0" quotePrefix="0" xfId="0">
      <alignment horizontal="right"/>
      <protection locked="1" hidden="1"/>
    </xf>
    <xf numFmtId="168" fontId="3" fillId="0" borderId="9" applyAlignment="1" applyProtection="1" pivotButton="0" quotePrefix="0" xfId="0">
      <alignment horizontal="right"/>
      <protection locked="1" hidden="1"/>
    </xf>
    <xf numFmtId="164" fontId="3" fillId="0" borderId="4" applyAlignment="1" applyProtection="1" pivotButton="0" quotePrefix="0" xfId="0">
      <alignment horizontal="right"/>
      <protection locked="1" hidden="1"/>
    </xf>
    <xf numFmtId="0" fontId="7" fillId="3" borderId="3" applyAlignment="1" applyProtection="1" pivotButton="0" quotePrefix="0" xfId="0">
      <alignment horizontal="right"/>
      <protection locked="0" hidden="0"/>
    </xf>
    <xf numFmtId="0" fontId="3" fillId="0" borderId="11" applyProtection="1" pivotButton="0" quotePrefix="0" xfId="0">
      <protection locked="1" hidden="1"/>
    </xf>
    <xf numFmtId="167" fontId="3" fillId="0" borderId="12" applyAlignment="1" applyProtection="1" pivotButton="0" quotePrefix="0" xfId="0">
      <alignment horizontal="right"/>
      <protection locked="1" hidden="1"/>
    </xf>
    <xf numFmtId="0" fontId="2" fillId="0" borderId="13" applyProtection="1" pivotButton="0" quotePrefix="0" xfId="0">
      <protection locked="1" hidden="1"/>
    </xf>
    <xf numFmtId="0" fontId="8" fillId="0" borderId="0" applyProtection="1" pivotButton="0" quotePrefix="0" xfId="0">
      <protection locked="1" hidden="1"/>
    </xf>
    <xf numFmtId="168" fontId="3" fillId="0" borderId="4" applyAlignment="1" applyProtection="1" pivotButton="0" quotePrefix="0" xfId="0">
      <alignment horizontal="right"/>
      <protection locked="1" hidden="1"/>
    </xf>
    <xf numFmtId="0" fontId="3" fillId="0" borderId="4" applyAlignment="1" applyProtection="1" pivotButton="0" quotePrefix="0" xfId="0">
      <alignment horizontal="center"/>
      <protection locked="1" hidden="1"/>
    </xf>
    <xf numFmtId="165" fontId="7" fillId="3" borderId="3" applyAlignment="1" applyProtection="1" pivotButton="0" quotePrefix="0" xfId="0">
      <alignment horizontal="right"/>
      <protection locked="0" hidden="0"/>
    </xf>
    <xf numFmtId="167" fontId="3" fillId="0" borderId="4" applyAlignment="1" applyProtection="1" pivotButton="0" quotePrefix="0" xfId="0">
      <alignment horizontal="right"/>
      <protection locked="1" hidden="1"/>
    </xf>
    <xf numFmtId="166" fontId="7" fillId="3" borderId="3" applyAlignment="1" applyProtection="1" pivotButton="0" quotePrefix="0" xfId="0">
      <alignment horizontal="right"/>
      <protection locked="0" hidden="0"/>
    </xf>
    <xf numFmtId="0" fontId="6" fillId="2" borderId="14" applyAlignment="1" applyProtection="1" pivotButton="0" quotePrefix="0" xfId="0">
      <alignment horizontal="center" vertical="center" wrapText="1"/>
      <protection locked="1" hidden="1"/>
    </xf>
    <xf numFmtId="0" fontId="6" fillId="2" borderId="15" applyAlignment="1" applyProtection="1" pivotButton="0" quotePrefix="0" xfId="0">
      <alignment horizontal="center" vertical="center" wrapText="1"/>
      <protection locked="1" hidden="1"/>
    </xf>
    <xf numFmtId="0" fontId="6" fillId="2" borderId="16" applyAlignment="1" applyProtection="1" pivotButton="0" quotePrefix="0" xfId="0">
      <alignment horizontal="center" vertical="center" wrapText="1"/>
      <protection locked="1" hidden="1"/>
    </xf>
    <xf numFmtId="1" fontId="3" fillId="0" borderId="8" applyAlignment="1" applyProtection="1" pivotButton="0" quotePrefix="0" xfId="0">
      <alignment horizontal="right"/>
      <protection locked="1" hidden="1"/>
    </xf>
    <xf numFmtId="167" fontId="3" fillId="0" borderId="10" applyAlignment="1" applyProtection="1" pivotButton="0" quotePrefix="0" xfId="0">
      <alignment horizontal="right"/>
      <protection locked="1" hidden="1"/>
    </xf>
    <xf numFmtId="1" fontId="3" fillId="0" borderId="11" applyAlignment="1" applyProtection="1" pivotButton="0" quotePrefix="0" xfId="0">
      <alignment horizontal="right"/>
      <protection locked="1" hidden="1"/>
    </xf>
    <xf numFmtId="167" fontId="3" fillId="0" borderId="13" applyAlignment="1" applyProtection="1" pivotButton="0" quotePrefix="0" xfId="0">
      <alignment horizontal="right"/>
      <protection locked="1" hidden="1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C00000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A1A1A"/>
                </a:solidFill>
                <a:latin typeface="微软雅黑"/>
              </a:defRPr>
            </a:pPr>
            <a:r>
              <a:rPr sz="1100" b="1">
                <a:solidFill>
                  <a:srgbClr val="1A1A1A"/>
                </a:solidFill>
                <a:latin typeface="微软雅黑"/>
              </a:rPr>
              <a:t>运营期净现金流与累计回收（万元）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逐年税后净现金流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'测算'!$B$79:$B$103</f>
            </numRef>
          </cat>
          <val>
            <numRef>
              <f>'测算'!$J$79:$J$103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累计税后净现金流</v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'测算'!$K$79:$K$103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b"/>
    </legend>
    <plotVisOnly val="0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A1A1A"/>
                </a:solidFill>
                <a:latin typeface="微软雅黑"/>
              </a:defRPr>
            </a:pPr>
            <a:r>
              <a:rPr sz="1100" b="1">
                <a:solidFill>
                  <a:srgbClr val="1A1A1A"/>
                </a:solidFill>
                <a:latin typeface="微软雅黑"/>
              </a:rPr>
              <a:t>用户侧年费用构成（万元）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年费用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'测算'!$H$32:$H$37</f>
            </numRef>
          </cat>
          <val>
            <numRef>
              <f>'测算'!$I$32:$I$37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0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A1A1A"/>
                </a:solidFill>
                <a:latin typeface="微软雅黑"/>
              </a:defRPr>
            </a:pPr>
            <a:r>
              <a:rPr sz="1100" b="1">
                <a:solidFill>
                  <a:srgbClr val="1A1A1A"/>
                </a:solidFill>
                <a:latin typeface="微软雅黑"/>
              </a:rPr>
              <a:t>综合到户电价对比（元/kWh）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综合到户电价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'测算'!$H$44:$H$45</f>
            </numRef>
          </cat>
          <val>
            <numRef>
              <f>'测算'!$I$44:$I$45</f>
            </numRef>
          </val>
        </ser>
        <dLbls>
          <numFmt formatCode="0.000"/>
          <dLblPos val="outEnd"/>
          <showLegendKey val="0"/>
          <showVal val="1"/>
          <showCatName val="0"/>
          <showSerName val="0"/>
          <showPercent val="0"/>
          <showBubbleSize val="0"/>
        </dLbls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crossAx val="10"/>
      </valAx>
    </plotArea>
    <plotVisOnly val="0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A1A1A"/>
                </a:solidFill>
                <a:latin typeface="微软雅黑"/>
              </a:defRPr>
            </a:pPr>
            <a:r>
              <a:rPr sz="1100" b="1">
                <a:solidFill>
                  <a:srgbClr val="1A1A1A"/>
                </a:solidFill>
                <a:latin typeface="微软雅黑"/>
              </a:rPr>
              <a:t>投资构成（%）</a:t>
            </a:r>
          </a:p>
        </rich>
      </tx>
      <overlay val="0"/>
    </title>
    <plotArea>
      <doughnutChart>
        <varyColors val="1"/>
        <ser>
          <idx val="0"/>
          <order val="0"/>
          <tx>
            <v>投资构成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509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7FB4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FA9CE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FD0E4"/>
              </a:solidFill>
              <a:ln xmlns:a="http://schemas.openxmlformats.org/drawingml/2006/main">
                <a:prstDash val="solid"/>
              </a:ln>
            </spPr>
          </dPt>
          <cat>
            <numRef>
              <f>'测算'!$H$22:$H$26</f>
            </numRef>
          </cat>
          <val>
            <numRef>
              <f>'测算'!$I$22:$I$26</f>
            </numRef>
          </val>
        </ser>
        <dLbls>
          <numFmt formatCode="0.0%"/>
          <showLegendKey val="0"/>
          <showVal val="0"/>
          <showCatName val="0"/>
          <showSerName val="0"/>
          <showPercent val="1"/>
          <showBubbleSize val="0"/>
        </dLbls>
        <firstSliceAng val="0"/>
        <holeSize val="55"/>
      </doughnutChart>
    </plotArea>
    <legend>
      <legendPos val="r"/>
    </legend>
    <plotVisOnly val="0"/>
    <dispBlanksAs val="gap"/>
  </chart>
</chartSpace>
</file>

<file path=xl/comments/comment1.xml><?xml version="1.0" encoding="utf-8"?>
<comments xmlns="http://schemas.openxmlformats.org/spreadsheetml/2006/main">
  <authors>
    <author>介子九维 JIEZIJIUWEI</author>
  </authors>
  <commentList>
    <comment ref="C5" authorId="0" shapeId="0">
      <text>
        <t>这是项目的接线方式：并网型保留与公共电网的连接，按1192号文（《关于完善价格机制促进新能源发电就近消纳的通知》，发改价格〔2025〕1192号，2025年9月12日发布）缴纳输配电费、系统运行费等；离网型与公共电网完全物理隔离，免缴上述费用，但供电可靠性需自建储能与备用保障。选择离网型后，输配电费等一组电网侧费用字段会整体隐藏，不参与核算。
目前已落地项目绝大多数为并网型</t>
      </text>
    </comment>
    <comment ref="C6" authorId="0" shapeId="0">
      <text>
        <t>这是并网型项目现行容（需）量电费之外、输配电量部分的计费方式。单一容量制是1192号文规定的默认方式，按申报接入容量计费，下网电量不再单独缴系统备用费与输配电量电费；大数据、化工等高可靠性行业可选择保留两部制。选择结果决定输配电费具体走哪组公式计算。
一般项目选单一容量制</t>
      </text>
    </comment>
    <comment ref="C7" authorId="0" shapeId="0">
      <text>
        <t>这是现行容（需）量电费的计费方式：按变压器容量（元/kVA·月）或按申报最大需量（元/kW·月）计。1192号文（《关于完善价格机制促进新能源发电就近消纳的通知》，发改价格〔2025〕1192号，2025年9月12日发布）公式中的“现行容（需）量电费”按此方式取数，公式第二项则恒按接入容量（kVA）计算，与计费方式选择无关。选定后，下方对应的容量电价或需量电价+申报需量两组字段会切换显示。
多数用户按容量计费；需量计费适合负荷率高且平稳的用户</t>
      </text>
    </comment>
    <comment ref="C8" authorId="0" shapeId="0">
      <text>
        <t>这是政府性基金及附加的计费电量口径：按现行自备电厂政策，自发自用电量原则上也应缴纳（默认口径为“下网+自用”）；部分地区实践中仅按下网电量随电费征收。这项选择决定政府性基金公式里参与计费的电量范围，请与当地价格主管部门确认后选择。
不确定时保持默认口径</t>
      </text>
    </comment>
    <comment ref="C9" authorId="0" shapeId="0">
      <text>
        <t>这是企业所得税“三免三减半”优惠：自取得第一笔生产经营收入年度起，前三年免征、后三年减半征收。能否享受须逐项核对，不是自动适用：①企业内部自建自用的项目不得享受（财税〔2008〕46号），由独立主体投资并对外售电经营的项目才可能适用；②项目须在《公共基础设施项目企业所得税优惠目录》范围内并经政府投资主管部门批准（备案制项目能否等同于核准，实务中存在争议）；③优惠项目所得须单独核算、合理分摊期间费用，未分开核算的不得享受。本工具只对光伏、风电投资对应的部分计入优惠，储能与专线投资不计；税额按投资份额加权近似计算，正式申报以主管税务机关认定为准。若不确定是否适用，建议关闭本项另算一遍，对比两种情形的收益区间。
默认开启，请按项目实际情况核对后选择</t>
      </text>
    </comment>
    <comment ref="C12" authorId="0" shapeId="0">
      <text>
        <t>这是价区与电压等级的组合选择，选定后会自动带出该档已公开的输配电度价、需量电价与容量电价（依据第四监管周期省级输配电价表），其余费用参数先按示例值填入。带出后所有数值均可逐项修改，不受选择限制。
示例：山东 + 110千伏
带出后如需采用其他数值，在同行「覆盖值」栏填写，留空则采用带出值。</t>
      </text>
    </comment>
    <comment ref="C13" authorId="0" shapeId="0">
      <text>
        <t>这是项目接入公共电网的电压等级。电压等级越高，现行输配电度价、需量电价与容量电价通常越低，选择后会自动带出该等级的公开数值，仍可逐项修改。
绿电直连项目常见为110千伏；小型园区多为10千伏，大型专线可到220千伏</t>
      </text>
    </comment>
    <comment ref="C14" authorId="0" shapeId="0">
      <text>
        <t>这是所在电压等级现行输配电价的电量电价部分。单一容量制下，1192号文规定的输配电量折算费 = 输配电度价 × 平均负荷率 × 730 × 12 × 接入公网容量，它是这个公式里的第一个乘数；两部制下，它与下网电量加自发自用电量之和相乘，构成两部制电量电费。并网型项目此项为硬必填，缺此项无法核算输配电费。
示例：山东110kV为0.1060元/kWh
带出值来自所选价区与电压等级的官方输配电价表；在右侧「覆盖值」栏填写数值可替代带出值。</t>
      </text>
    </comment>
    <comment ref="C15" authorId="0" shapeId="0">
      <text>
        <t>这是所在电压等级现行两部制需量电价，选择价区与电压等级后自动带出（依据第四监管周期省级输配电价表）。选择“按需量”计费方式时，此项为硬必填，缺此项无法核算现行容（需）量电费；选择“按容量”计费方式时不显示、不参与核算。它与申报需量相乘、乘以12个月，构成现行容（需）量电费，是输配电费公式的组成项之一。
示例：山东110kV为36.0元/kW·月
带出值来自所选价区与电压等级的官方输配电价表；在右侧「覆盖值」栏填写数值可替代带出值。</t>
      </text>
    </comment>
    <comment ref="C16" authorId="0" shapeId="0">
      <text>
        <t>这是现行两部制输配电价中的容量电价（按变压器容量计），各省第四监管周期省级输配电价表可查。现行容量电费 = 容量电价 × 接入公网容量 × 12，是1192号文单一容量制输配电费公式的前半部分，与后半部分输配电量折算费相加构成总输配电费。选择“按容量”计费方式时此项为硬必填，缺此项无法核算输配电费；选择“按需量”计费方式时不显示、不参与核算。
示例：山东110kV为22.5元/kVA·月
带出值来自所选价区与电压等级的官方输配电价表；在右侧「覆盖值」栏填写数值可替代带出值。</t>
      </text>
    </comment>
    <comment ref="C20" authorId="0" shapeId="0">
      <text>
        <t>这是项目光伏总装机容量（交流侧）。光伏或风电至少一种的装机与年利用小时应大于零，此项为硬必填，两者都为零时无法核算发电量与后续所有费用和收益。
示例：100 MW（即10万千瓦）</t>
      </text>
    </comment>
    <comment ref="C21" authorId="0" shapeId="0">
      <text>
        <t>这是光伏年等效利用小时数，按当地太阳能资源与设计值填报，乘以光伏装机容量得到光伏年发电量。光伏或风电至少一种的装机与年利用小时应大于零，此项为硬必填。
示例：山东约1100~1300h</t>
      </text>
    </comment>
    <comment ref="C22" authorId="0" shapeId="0">
      <text>
        <t>这是项目风电装机容量，无风电填0。光伏或风电至少要有一种的装机与年利用小时大于零，若已填写光伏装机，此项选填，没有可不填，按0参与核算。
示例：0 或 50 MW</t>
      </text>
    </comment>
    <comment ref="C23" authorId="0" shapeId="0">
      <text>
        <t>这是风电年等效利用小时数，按资源区与机型确定，乘以风电装机容量得到风电年发电量。若不建设风电，此项选填，没有可不填，按0参与核算。
示例：2500~3600h</t>
      </text>
    </comment>
    <comment ref="C24" authorId="0" shapeId="0">
      <text>
        <t>这是储能系统的额定功率，用于说明储能配置规模，便于与储能容量对照理解充放电倍率。本工具当前不把它单独代入电量平衡与费用测算，改动不影响测算结果，选填，没有可不填。
示例：20 MW</t>
      </text>
    </comment>
    <comment ref="C25" authorId="0" shapeId="0">
      <text>
        <t>这是储能系统额定容量，决定储能投资额度。填0表示项目不配储能；填大于0的数值时，储能单位投资一项转为硬必填，缺此项无法核算储能投资额。此项本身选填，没有可不填，按0参与核算。
示例：40 MWh（2小时系统）</t>
      </text>
    </comment>
    <comment ref="C26" authorId="0" shapeId="0">
      <text>
        <t>这是向电网企业自主申报的接入公共电网容量（受电变压器容量与不经变压器接入的高压电动机容量之和），是1192号文单一容量制的计费基数，同时出现在两处公式里：现行容量电费 = 容量电价 × 接入公网容量 × 12；输配电量折算费 = 输配电度价 × 平均负荷率 × 730 × 12 × 接入公网容量。并网型项目此项为硬必填，缺此项无法核算输配电费；离网型不显示、不参与核算。申报越低固定费用越少，但电网备用保障也相应减少，是项目里最重要的可控成本变量之一。
示例：25000 kVA</t>
      </text>
    </comment>
    <comment ref="C27" authorId="0" shapeId="0">
      <text>
        <t>这是按需量计费时向电网申报的最大需量（或合同确定值）。选择“按需量”计费方式时，此项为硬必填，缺此项无法核算现行容（需）量电费，进而无法核算输配电费与用户侧总费用；选择“按容量”计费方式时不显示、不参与核算。它与需量电价相乘、乘以12个月，构成现行容（需）量电费。
示例：20000 kW</t>
      </text>
    </comment>
    <comment ref="C30" authorId="0" shapeId="0">
      <text>
        <t>这是直连用户全年总用电量，用于核算准入比例（自发自用占用电量不低于30%）与节省额对照公式：电网到户对照价×年用电量−用户侧总费用。此项为硬必填，缺此项无法核算用户侧总费用与节省额。
示例：12000 万kWh（即1.2亿度）</t>
      </text>
    </comment>
    <comment ref="C31" authorId="0" shapeId="0">
      <text>
        <t>这是新能源发电量中被用户直接消纳的部分。准入要求：不低于总可用发电量的60%，且不低于用户年用电量的30%，并不断提高自发自用比例，2030年前不低于35%。此项为硬必填，为零则不构成绿电直连场景，无法核算。
示例：9000 万kWh</t>
      </text>
    </comment>
    <comment ref="C32" authorId="0" shapeId="0">
      <text>
        <t>这是预计无法被消纳、利用的发电量比例（限电、检修等原因），用于从总可用发电量里扣减，得到实际可分配的发电量。选填，没有可不填，按0参与核算。
示例：2%</t>
      </text>
    </comment>
    <comment ref="C33" authorId="0" shapeId="0">
      <text>
        <t>这是光伏组件年出力衰减率，用于逐年测算发电量随运营年份递减。选填，没有可不填，按0参与核算。
示例：0.5%</t>
      </text>
    </comment>
    <comment ref="I33" authorId="0" shapeId="0">
      <text>
        <t>这不是一个独立的收费项目，而是1192号文（《关于完善价格机制促进新能源发电就近消纳的通知》，发改价格〔2025〕1192号，2025年9月12日发布）单一容量制输配电费公式的后半部分折算值，公式为：输配电量折算费 = 输配电度价 × 平均负荷率 × 730 × 12 × 接入公网容量。它与前半部分现行容（需）量电费相加，构成总输配电费。
示例：0.1060元/kWh × 55% × 730 × 12 × 25000kVA ÷ 10000 ≈ 1276.8万元/年（山东110kV示例值）</t>
      </text>
    </comment>
    <comment ref="C36" authorId="0" shapeId="0">
      <text>
        <t>这是发用双方协商确定的直连电量结算价（含税），是自发自用电量对应的结算价格，一般介于新能源度电成本与电网到户电价之间。它乘以自发自用电量得到直供电费，是用户侧总费用的组成项之一。此项为硬必填，缺此项无法核算用户侧总费用。
示例：0.35 元/kWh</t>
      </text>
    </comment>
    <comment ref="C37" authorId="0" shapeId="0">
      <text>
        <t>这是企业从电网实际买电部分（下网电量）的价格，按中长期加现货加权计算，含税，不含右列单列的系统运行费等费用。这笔钱是真的要花出去的支出，乘以下网电量得到下网购电费，是用户侧总费用的组成项之一。1192号文要求这部分下网电量必须直接参与市场交易，电网企业不能代为购电。存在下网电量时此项为硬必填，缺此项无法核算用户侧总费用；若自发自用电量已等于年用电量、不存在下网电量，可不填。
示例：0.55 元/kWh</t>
      </text>
    </comment>
    <comment ref="C38" authorId="0" shapeId="0">
      <text>
        <t>这是一个假设价格，不是企业实际要付的钱，而是“如果完全不做直连、全部电量都从电网买”这种情况下的综合到户单价，已经包含输配电费、政府性基金等全部费用。它乘以年用电量，得到用来做对比的对照基准；对照基准减去用户侧总费用，就是节省额。留空按0参与核算，此时节省额与对比结论会失真，建议在正式测算前填入真实对照价。
示例：0.62 元/kWh</t>
      </text>
    </comment>
    <comment ref="C39" authorId="0" shapeId="0">
      <text>
        <t>这是余电上网部分按现货市场结算的预期均价，乘以上网电量得到上网收入，单独展示，不计入用户侧总费用。注意：就近消纳项目上网电量不纳入新能源可持续发展价格结算机制，须直接承受现货低价乃至负价。存在上网电量时，留空按0参与核算，上网收入会失真，建议填入真实预期均价；若发电量已全部自用、没有上网电量，可不填。
示例：0.20 元/kWh</t>
      </text>
    </comment>
    <comment ref="C40" authorId="0" shapeId="0">
      <text>
        <t>这不是你这个项目自己的负荷率，而是1192号文公式里规定的一个全省统一参数，代表所在省份110千伏及以上工商业两部制用户的平均负荷水平，由电网企业测算、省级价格主管部门审核后统一公布，跟你项目的实际用电情况无关。它只在单一容量制下参与计算，是输配电量折算费公式（输配电度价 × 平均负荷率 × 730 × 12 × 接入公网容量）里的一个乘数，两部制下不参与。省级正式数值公布前，留空按示例值参与核算，建议在数值公布后及时替换。
示例：55%</t>
      </text>
    </comment>
    <comment ref="C41" authorId="0" shapeId="0">
      <text>
        <t>这是电网为保障系统稳定运行额外收取的费用，包含辅助服务、煤电容量电费等分摊，按下网电量计算，由各省电网企业按月公布、随月波动。它是用户侧总费用的组成项之一，和下网购电费是两笔分开收的钱。留空按示例值参与核算，建议在正式测算前换成当月真实公布值。
示例：山东约0.0209元/kWh</t>
      </text>
    </comment>
    <comment ref="C42" authorId="0" shapeId="0">
      <text>
        <t>这是电力从电网输送到用户过程中损耗对应的费用，只按下网电量单独计算，由电网企业按月测算公布。它是用户侧总费用的组成项之一。存在下网电量时，留空按示例值参与核算，建议替换为当月公告值；若不存在下网电量，可不填。
示例：0.01元/kWh，以电网月度公告为准</t>
      </text>
    </comment>
    <comment ref="C43" authorId="0" shapeId="0">
      <text>
        <t>这是国家和省级政府公布的法定收费项目，包括可再生能源电价附加等，按下网电量（或按选定口径另加自发自用电量）计算，各地标准公开可查。它是用户侧总费用的组成项之一。留空按示例值参与核算，建议在正式测算前替换为当地最新公告值。
示例：山东0.02717元/kWh，以当地最新公告为准</t>
      </text>
    </comment>
    <comment ref="C44" authorId="0" shapeId="0">
      <text>
        <t>这是政策性交叉补贴产生的新增损益，按下网电量计算。部分省份已经把这笔钱并入系统运行费一起公布，这种情况下这里应该填0，避免同一笔钱被算两次。它是用户侧总费用的组成项之一，选填，没有可不填，按0参与核算。
示例：0（当地已并入系统运行费时）</t>
      </text>
    </comment>
    <comment ref="C45" authorId="0" shapeId="0">
      <text>
        <t>这是自发自用绿电环境价值的折算单价（相当于免于外购绿证，或规避欧盟碳边境调节机制一类碳成本），只在结果中单列展示，不计入到户电价对比与用户侧总费用。留空按示例值参与核算，实际兑现与归属请以绿证交易规则及合同约定为准。
示例：0.005元/kWh（约合绿证5元/张）</t>
      </text>
    </comment>
    <comment ref="C48" authorId="0" shapeId="0">
      <text>
        <t>这是光伏电站单位造价（EPC全口径），乘以光伏装机容量得到光伏投资额，是项目总投资的组成部分之一。有光伏装机时此项为硬必填，缺此项无法核算总投资；不建设光伏时不参与核算。
示例：3.0 元/W</t>
      </text>
    </comment>
    <comment ref="C49" authorId="0" shapeId="0">
      <text>
        <t>这是风电场单位造价，乘以风电装机容量得到风电投资额，是项目总投资的组成部分之一。有风电装机时此项为硬必填，缺此项无法核算总投资；不建设风电时选填，没有可不填。
示例：4.5 元/W</t>
      </text>
    </comment>
    <comment ref="C50" authorId="0" shapeId="0">
      <text>
        <t>这是储能系统单位造价（按容量计），乘以储能容量得到储能投资额，是项目总投资的组成部分之一。有储能容量时此项为硬必填，缺此项无法核算总投资；不配储能时选填，没有可不填。
示例：1.0 元/Wh</t>
      </text>
    </comment>
    <comment ref="C51" authorId="0" shapeId="0">
      <text>
        <t>这是直连专用线路、升压站及配套设施的投资总额，是项目总投资的组成部分之一，是否发生这笔专线投资也是绿电直连项目区别于常规并网光伏/风电项目的定义性特征。此项为硬必填，缺此项无法核算总投资；请按工程概算据实填写，不要留空或按0处理。
示例：6000 万元</t>
      </text>
    </comment>
    <comment ref="C52" authorId="0" shapeId="0">
      <text>
        <t>这是项目资本金占总投资的比例，其余部分按长期贷款测算。数值须大于0且不超过100%，此项为硬必填，缺此项或数值不在此区间时无法核算融资结构与现金流。
示例：30%</t>
      </text>
    </comment>
    <comment ref="C53" authorId="0" shapeId="0">
      <text>
        <t>这是长期贷款年利率（等额本息），默认4.5%为行业惯例，可按企业实际融资条件修改。有贷款融资（资本金比例小于100%）时，留空按0计算，相当于按无息贷款测算，建议填入真实利率；资本金比例为100%、完全自有资金投资时可不填。
示例：4.5%</t>
      </text>
    </comment>
    <comment ref="C54" authorId="0" shapeId="0">
      <text>
        <t>这是贷款还款年限。有贷款融资（资本金比例小于100%）时此项为硬必填，缺此项无法核算还本付息安排；完全自有资金投资时可不填。贷款年限超过运营期时，超出部分的未偿本金会在运营期末一次性从资本金现金流中扣减，建议贷款年限不超过运营期。
示例：15 年</t>
      </text>
    </comment>
    <comment ref="C55" authorId="0" shapeId="0">
      <text>
        <t>这是项目运营期，也是现金流评价期的年数。此项为硬必填，缺此项无法核算现金流与各项投资回报指标。
示例：25 年
本工作簿现金流表最长支持25年。</t>
      </text>
    </comment>
    <comment ref="C56" authorId="0" shapeId="0">
      <text>
        <t>这是年运维费用占总投资的比例，请填不含税金额。费用基数按设备及工程投资计，不含土地取得费。默认1.2%为行业惯例，可按企业实际情况修改。留空按0参与核算，会高估投资回报，建议在正式测算前填入真实费率。
示例：1.2%</t>
      </text>
    </comment>
    <comment ref="C57" authorId="0" shapeId="0">
      <text>
        <t>这是年保险费占总投资的比例，请填不含税金额。费用基数按设备及工程投资计，不含土地取得费。默认0.25%为行业惯例，可按企业实际情况修改。留空按0参与核算，会高估投资回报，建议在正式测算前填入真实费率。
示例：0.25%</t>
      </text>
    </comment>
    <comment ref="C58" authorId="0" shapeId="0">
      <text>
        <t>这是运营期每年支付的土地或场地租赁费用，请填不含税金额。地面电站、租地项目按合同年租金填写；自有土地或屋顶项目填0。一次性征地款及一次性租赁费应计入建设投资，不填在这里。选填，没有可不填，按0参与核算，但须为不小于0的数值。
示例：0 万元/年（自有土地）</t>
      </text>
    </comment>
    <comment ref="C59" authorId="0" shapeId="0">
      <text>
        <t>这是取得项目用地或场地使用权的一次性支出，包括出让价款、征地相关支出，或一次性趸交的长期租赁费用。它计入建设期投资现金流出与总投资，但不进设备折旧池、不套设备残值率，也不适用可抵扣进项税综合比例，土地有自己独立的计税基础与进项抵扣核算（见“土地可抵扣进项税额”）。地面电站征地或长期趸交租赁项目按此填写一次性支出；自有土地或按年支付的场地租金不在这里填，请填“土地/场地租金”一项的年租金，避免同一笔支出被重复计入两处。选填，没有可不填，按0参与核算，但须为不小于0的数值。
示例：出让/征地/趸交一次性支出填此项，按年租金请填“土地/场地租金”</t>
      </text>
    </comment>
    <comment ref="C60" authorId="0" shapeId="0">
      <text>
        <t>这是土地使用权按税法在税前摊销的年限，请按权证或合同载明的实际剩余使用期限填写，受让存量土地填剩余年限，不要照抄土地原始出让年限。有土地取得费（大于0）时此项为硬必填，缺此项无法核算土地摊销进入应纳税所得额的扣除；摊销年限超过运营期时，只摊销运营期内的年度，摊销假设从第一年即按整年计提，期末未摊销余额不会自动折算为现金流回收（如需回收请填“期末预计可回收净额”）。土地取得费为0时不参与核算，可不填。
示例：受让存量工业用地剩余40年，填40，不要填原始出让年限50年</t>
      </text>
    </comment>
    <comment ref="C61" authorId="0" shapeId="0">
      <text>
        <t>这是土地取得费中实际取得合法扣税凭证、可以抵扣的增值税进项税额，请按实际凭证据实填写，本工具不做自动测算。政府土地出让金通常为免税财政票据，此项填0；企业间受让土地使用权如取得税率9%的增值税专用发票，可按发票注明税额填写。这笔进项税额会并入项目整体进项税抵扣池，同时从土地计税基础中扣除，可抵扣的部分不能同时资本化摊销，避免同一笔钱被抵扣两次。选填，没有可不填，按0参与核算，但须为不小于0的数值。
示例：0（政府出让，财政票据免税）；受让并取得专用发票时按票面税额填写</t>
      </text>
    </comment>
    <comment ref="C62" authorId="0" shapeId="0">
      <text>
        <t>这是对运营期末该地块预计可回收净额的估计，默认按保守假设填0，即假设期末不产生土地回收现金流。填大于0的数值时，这部分金额会计入运营期末的现金流回收，与固定资产余值回收在同一年度体现；但这是模型按填报值做的假设性测算，不是确定能收回的款项，实际能否收回、收回多少，取决于届时土地使用权的处置方式、市场行情与合同约定。选填，没有可不填，按0参与核算。
示例：0（保守假设，不预设土地回收现金流）</t>
      </text>
    </comment>
    <comment ref="C63" authorId="0" shapeId="0">
      <text>
        <t>这是固定资产折旧年限（年限平均法）。默认20年为行业惯例，可按企业实际会计政策修改。此项为硬必填，缺此项无法核算折旧与税后现金流。
示例：20 年
年折旧额分母恒用税法折旧年限；计提年限不超过运营期，期末未折旧账面净值随余值一并回收。</t>
      </text>
    </comment>
    <comment ref="C64" authorId="0" shapeId="0">
      <text>
        <t>这是运营期末固定资产残值率。默认5%为行业惯例，可按企业实际情况修改。选填，没有可不填，按0参与核算。
示例：5%</t>
      </text>
    </comment>
    <comment ref="C65" authorId="0" shapeId="0">
      <text>
        <t>这是企业所得税税率，用于核算税后现金流与投资回报指标。选填，没有可不填，按25%法定税率参与核算。
示例：25%
当年应纳税所得额为负时按税法结转以后五个年度弥补。</t>
      </text>
    </comment>
    <comment ref="C66" authorId="0" shapeId="0">
      <text>
        <t>这是建设投资里能抵扣增值税进项税的比例。抵扣的部分会从计税折旧基数里扣除，从而影响所得税计算。设备购置部分按13%抵扣、建筑安装部分按9%抵扣，两者按投资构成加权后就是这个比例，理论上限约11.5%。留空按示例值参与核算，正式测算前请按分项投资估算表核实真实比例。
示例：10%（建议用分项投资表核实后替换）</t>
      </text>
    </comment>
    <comment ref="C67" authorId="0" shapeId="0">
      <text>
        <t>这是财务基准收益率（折现率），用于核算净现值、动态回收期与度电成本。发电项目目前没有官方统一基准值（《关于调整部分行业建设项目财务基准收益率的通知》，发改投资〔2013〕586号，2013年3月15日发布，只调整了电网行业），默认6%为行业惯例，可按企业实际情况修改。留空按0参与核算，净现值等指标会严重失真，建议在正式测算前填入真实基准收益率。
示例：6%</t>
      </text>
    </comment>
    <comment ref="C68" authorId="0" shapeId="0">
      <text>
        <t>这是储能电芯预计更换发生的运营年份，用于安排更换费用在现金流中出现的年度。选填，没有可不填。
示例：第12年
更换支出当年费用化，税前扣除按不含税金额、其进项税当年补入抵扣池，现金流出按含税全额；填0或大于运营期表示不发生更换。</t>
      </text>
    </comment>
    <comment ref="C69" authorId="0" shapeId="0">
      <text>
        <t>这是更换费用占储能初始投资的比例（考虑届时价格下降）。选填，没有可不填，按0参与核算，相当于不安排储能更换支出。
示例：50%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12024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24</row>
      <rowOff>0</rowOff>
    </from>
    <ext cx="3528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24</row>
      <rowOff>0</rowOff>
    </from>
    <ext cx="3528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17</col>
      <colOff>0</colOff>
      <row>24</row>
      <rowOff>0</rowOff>
    </from>
    <ext cx="3744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6" customWidth="1" min="2" max="2"/>
  </cols>
  <sheetData>
    <row r="1"/>
    <row r="2">
      <c r="B2" s="1" t="inlineStr">
        <is>
          <t>绿电直连经济测算 v4.0 · 介子九维 JIEZIJIUWEI</t>
        </is>
      </c>
    </row>
    <row r="3">
      <c r="B3" s="2" t="inlineStr">
        <is>
          <t>版本 v4.0 · 2026年8月1日 · 建设期利息与度电成本更换支出口径更新。</t>
        </is>
      </c>
    </row>
    <row r="4" ht="30" customHeight="1">
      <c r="B4" s="2" t="inlineStr">
        <is>
          <t>来源：第四监管周期省级输配电价表（附件1），更新日期2026-07-10。区域电网输电价格表（附件2）仅在网站独立查询，不自动计入本测算公式。</t>
        </is>
      </c>
    </row>
    <row r="5">
      <c r="B5" s="3" t="inlineStr"/>
    </row>
    <row r="6">
      <c r="B6" s="4" t="inlineStr">
        <is>
          <t>使用方法</t>
        </is>
      </c>
    </row>
    <row r="7">
      <c r="B7" s="3" t="inlineStr">
        <is>
          <t>第一步：在「测算」表输入区修改黄底单元格（下拉项从列表选择），其余区域为自动计算。</t>
        </is>
      </c>
    </row>
    <row r="8">
      <c r="B8" s="3" t="inlineStr">
        <is>
          <t>第二步：查看结果区的关键指标、合规判定、构成分析与逐年现金流，全簿公式即时重算。</t>
        </is>
      </c>
    </row>
    <row r="9">
      <c r="B9" s="3" t="inlineStr">
        <is>
          <t>第三步：需要留存比对的方案，将本文件另存副本后再改参数，避免覆盖原方案。</t>
        </is>
      </c>
    </row>
    <row r="10" ht="30" customHeight="1">
      <c r="B10" s="3" t="inlineStr">
        <is>
          <t>Excel 版填写内容不会自动保存，填写后请另存为您自己的副本，即可长期保存并随时接着用；网页版与小程序版已支持本机自动留存填写内容。</t>
        </is>
      </c>
    </row>
    <row r="11">
      <c r="B11" s="3" t="inlineStr"/>
    </row>
    <row r="12">
      <c r="B12" s="4" t="inlineStr">
        <is>
          <t>测算口径</t>
        </is>
      </c>
    </row>
    <row r="13" ht="60" customHeight="1">
      <c r="B13" s="3" t="inlineStr">
        <is>
          <t>财务评价采用融资前（全投资）与融资后（资本金）双口径现金流；投资按含税全额期初流出，现金流入按含税收入、流出扣实缴增值税，可抵扣进项税通过少缴销项逐年回收；折旧计税基数不含可抵扣进项税，年折旧额分母恒用税法折旧年限，期末回收固定资产余值（残值与未折旧账面净值）；更换性支出当年费用化税前扣除、进项税补入抵扣池；亏损按税法结转以后五个年度弥补，全投资与资本金口径各设独立亏损池；三免三减半优惠按光伏、风电投资占比份额化。</t>
        </is>
      </c>
    </row>
    <row r="14" ht="30" customHeight="1">
      <c r="B14" s="3" t="inlineStr">
        <is>
          <t>项目总投资含建设期利息，建设期按1年、当年借款按半年计息；建设期利息进入资本金口径资产基础，不进入全投资口径。土地取得费不计提建设期利息，多年建设期暂不支持。</t>
        </is>
      </c>
    </row>
    <row r="15">
      <c r="B15" s="3" t="inlineStr">
        <is>
          <t>储能更换支出计入度电成本时按不含可抵扣进项税额的净额，现金流出仍按含税全额。</t>
        </is>
      </c>
    </row>
    <row r="16">
      <c r="B16" s="3" t="inlineStr"/>
    </row>
    <row r="17">
      <c r="B17" s="4" t="inlineStr">
        <is>
          <t>版权与使用许可</t>
        </is>
      </c>
    </row>
    <row r="18">
      <c r="B18" s="3" t="inlineStr">
        <is>
          <t>本工具由介子九维（JIEZIJIUWEI）制作并享有著作权。</t>
        </is>
      </c>
    </row>
    <row r="19">
      <c r="B19" s="3" t="inlineStr">
        <is>
          <t>本工具免费提供给个人与企业内部评估使用，欢迎转发分享。</t>
        </is>
      </c>
    </row>
    <row r="20">
      <c r="B20" s="3" t="inlineStr">
        <is>
          <t>转发分享时请保留工具中的署名标识；不得售卖本工具，不得将其作为商业产品的组成部分再分发。</t>
        </is>
      </c>
    </row>
    <row r="21">
      <c r="B21" s="3" t="inlineStr">
        <is>
          <t>最新版本可通过微信公众号「介子九维」获取。</t>
        </is>
      </c>
    </row>
    <row r="22">
      <c r="B22" s="3" t="inlineStr"/>
    </row>
    <row r="23">
      <c r="B23" s="4" t="inlineStr">
        <is>
          <t>边界与免责</t>
        </is>
      </c>
    </row>
    <row r="24" ht="45" customHeight="1">
      <c r="B24" s="2" t="inlineStr">
        <is>
          <t>边界声明：全模型按不变价测算，收入与成本均不作年度价格增长放大；未计入建设期及建设期利息；未计入流动资金及其回收；贷款年限宜不大于运营期，超出部分的未偿本金在运营期末一次性扣减资本金现金流；回收期按累计现金流首次转正的年度线性插值。</t>
        </is>
      </c>
    </row>
    <row r="25">
      <c r="B25" s="2" t="inlineStr">
        <is>
          <t>结果仅供项目前期研判参考，不构成投资建议；正式决策以主管部门批复口径与项目可行性研究为准。</t>
        </is>
      </c>
    </row>
    <row r="26">
      <c r="B26" s="2" t="inlineStr">
        <is>
          <t>预设参数可直接使用，也可按项目实际逐项修改；正式测算前请结合项目实际核实取值。各参数的含义与填报要点见输入区单元格批注。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7E"/>
  <pageMargins left="0.75" right="0.75" top="1" bottom="1" header="0.5" footer="0.5"/>
  <headerFooter>
    <oddHeader/>
    <oddFooter>&amp;L绿电直连经济测算 v4.0&amp;R介子九维 JIEZIJIUWEI · 版权所有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 ht="28" customHeight="1">
      <c r="A1" s="5" t="n"/>
      <c r="B1" s="6" t="inlineStr">
        <is>
          <t>绿电直连经济测算 · 总览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7" t="inlineStr">
        <is>
          <t>介子九维 JIEZIJIUWEI</t>
        </is>
      </c>
      <c r="Q1" s="5" t="n"/>
      <c r="R1" s="5" t="n"/>
      <c r="S1" s="5" t="n"/>
      <c r="T1" s="5" t="n"/>
      <c r="U1" s="5" t="n"/>
      <c r="V1" s="5" t="n"/>
    </row>
    <row r="2" ht="13" customHeight="1">
      <c r="A2" s="5" t="n"/>
      <c r="B2" s="8">
        <f>"当前参数下：税后全投资内部收益率 "&amp;TEXT(_z3ewnh,"0.00%")&amp;"，静态回收期 "&amp;TEXT(_z3lcbu,"0.0")&amp;" 年，年节省 "&amp;TEXT(_zmorcm,"#,##0")&amp;" 万元"</f>
        <v/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15" customHeight="1">
      <c r="A4" s="5" t="n"/>
      <c r="B4" s="9" t="inlineStr">
        <is>
          <t>全投资内部收益率（税后）</t>
        </is>
      </c>
      <c r="C4" s="10" t="n"/>
      <c r="D4" s="10" t="n"/>
      <c r="E4" s="11" t="n"/>
      <c r="F4" s="9" t="inlineStr">
        <is>
          <t>净现值（税后全投资）</t>
        </is>
      </c>
      <c r="G4" s="10" t="n"/>
      <c r="H4" s="10" t="n"/>
      <c r="I4" s="11" t="n"/>
      <c r="J4" s="9" t="inlineStr">
        <is>
          <t>项目总投资（含建设期利息）</t>
        </is>
      </c>
      <c r="K4" s="10" t="n"/>
      <c r="L4" s="10" t="n"/>
      <c r="M4" s="11" t="n"/>
      <c r="N4" s="9" t="inlineStr">
        <is>
          <t>静态回收期</t>
        </is>
      </c>
      <c r="O4" s="10" t="n"/>
      <c r="P4" s="10" t="n"/>
      <c r="Q4" s="11" t="n"/>
      <c r="R4" s="9" t="inlineStr">
        <is>
          <t>度电成本 LCOE</t>
        </is>
      </c>
      <c r="S4" s="10" t="n"/>
      <c r="T4" s="10" t="n"/>
      <c r="U4" s="10" t="n"/>
      <c r="V4" s="5" t="n"/>
    </row>
    <row r="5" ht="34" customHeight="1">
      <c r="A5" s="5" t="n"/>
      <c r="B5" s="12">
        <f>_z3ewnh</f>
        <v/>
      </c>
      <c r="C5" s="5" t="n"/>
      <c r="D5" s="5" t="n"/>
      <c r="E5" s="13" t="n"/>
      <c r="F5" s="14">
        <f>_z8sr6o</f>
        <v/>
      </c>
      <c r="G5" s="5" t="n"/>
      <c r="H5" s="5" t="n"/>
      <c r="I5" s="13" t="n"/>
      <c r="J5" s="14">
        <f>_z32w4e</f>
        <v/>
      </c>
      <c r="K5" s="5" t="n"/>
      <c r="L5" s="5" t="n"/>
      <c r="M5" s="13" t="n"/>
      <c r="N5" s="15">
        <f>_z3lcbu</f>
        <v/>
      </c>
      <c r="O5" s="5" t="n"/>
      <c r="P5" s="5" t="n"/>
      <c r="Q5" s="13" t="n"/>
      <c r="R5" s="16">
        <f>_zehl1m</f>
        <v/>
      </c>
      <c r="S5" s="5" t="n"/>
      <c r="T5" s="5" t="n"/>
      <c r="U5" s="5" t="n"/>
      <c r="V5" s="5" t="n"/>
    </row>
    <row r="6" ht="15" customHeight="1">
      <c r="A6" s="5" t="n"/>
      <c r="B6" s="17" t="inlineStr">
        <is>
          <t>主评价指标</t>
        </is>
      </c>
      <c r="C6" s="18" t="n"/>
      <c r="D6" s="18" t="n"/>
      <c r="E6" s="19" t="n"/>
      <c r="F6" s="17" t="inlineStr">
        <is>
          <t>万元</t>
        </is>
      </c>
      <c r="G6" s="18" t="n"/>
      <c r="H6" s="18" t="n"/>
      <c r="I6" s="19" t="n"/>
      <c r="J6" s="17" t="inlineStr">
        <is>
          <t>万元</t>
        </is>
      </c>
      <c r="K6" s="18" t="n"/>
      <c r="L6" s="18" t="n"/>
      <c r="M6" s="19" t="n"/>
      <c r="N6" s="17" t="inlineStr">
        <is>
          <t>年</t>
        </is>
      </c>
      <c r="O6" s="18" t="n"/>
      <c r="P6" s="18" t="n"/>
      <c r="Q6" s="19" t="n"/>
      <c r="R6" s="17" t="inlineStr">
        <is>
          <t>元/kWh</t>
        </is>
      </c>
      <c r="S6" s="18" t="n"/>
      <c r="T6" s="18" t="n"/>
      <c r="U6" s="18" t="n"/>
      <c r="V6" s="5" t="n"/>
    </row>
    <row r="7" ht="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 ht="15.5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 ht="15.5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 ht="15.5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 ht="15.5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 ht="15.5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 ht="15.5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 ht="15.5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 ht="15.5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 ht="15.5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5.5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5.5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 ht="15.5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 ht="15.5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 ht="15.5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 ht="15.5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5.5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5.5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 ht="15.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 ht="15.5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 ht="15.5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 ht="15.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 ht="15.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 ht="15.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5.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5.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 ht="15.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5.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 ht="15.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.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.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.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.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.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6" customHeight="1">
      <c r="A41" s="5" t="n"/>
      <c r="B41" s="20" t="inlineStr">
        <is>
          <t>结果随「测算」表输入即时更新；测算口径与边界声明见「说明」。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2" t="inlineStr">
        <is>
          <t>介子九维 JIEZIJIUWEI</t>
        </is>
      </c>
      <c r="Q41" s="21" t="n"/>
      <c r="R41" s="21" t="n"/>
      <c r="S41" s="21" t="n"/>
      <c r="T41" s="21" t="n"/>
      <c r="U41" s="21" t="n"/>
      <c r="V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7E"/>
  <mergeCells count="20">
    <mergeCell ref="B41:O41"/>
    <mergeCell ref="B6:E6"/>
    <mergeCell ref="B5:E5"/>
    <mergeCell ref="N6:Q6"/>
    <mergeCell ref="R5:U5"/>
    <mergeCell ref="B4:E4"/>
    <mergeCell ref="F4:I4"/>
    <mergeCell ref="N4:Q4"/>
    <mergeCell ref="B2:U2"/>
    <mergeCell ref="J5:M5"/>
    <mergeCell ref="F6:I6"/>
    <mergeCell ref="B1:O1"/>
    <mergeCell ref="R4:U4"/>
    <mergeCell ref="J6:M6"/>
    <mergeCell ref="F5:I5"/>
    <mergeCell ref="R6:U6"/>
    <mergeCell ref="N5:Q5"/>
    <mergeCell ref="P1:U1"/>
    <mergeCell ref="P41:U41"/>
    <mergeCell ref="J4:M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省级电网输配电价矩阵（第四监管周期，附件1）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5" t="inlineStr">
        <is>
          <t>键</t>
        </is>
      </c>
      <c r="B2" s="5" t="inlineStr">
        <is>
          <t>价区</t>
        </is>
      </c>
      <c r="C2" s="5" t="inlineStr">
        <is>
          <t>电压等级</t>
        </is>
      </c>
      <c r="D2" s="5" t="inlineStr">
        <is>
          <t>电度电价</t>
        </is>
      </c>
      <c r="E2" s="5" t="inlineStr">
        <is>
          <t>需量电价</t>
        </is>
      </c>
      <c r="F2" s="5" t="inlineStr">
        <is>
          <t>容量电价</t>
        </is>
      </c>
      <c r="G2" s="5" t="n"/>
      <c r="H2" s="5" t="n"/>
    </row>
    <row r="3">
      <c r="A3" s="5" t="inlineStr">
        <is>
          <t>北京|1~10(20)千伏</t>
        </is>
      </c>
      <c r="B3" s="5" t="inlineStr">
        <is>
          <t>北京</t>
        </is>
      </c>
      <c r="C3" s="5" t="inlineStr">
        <is>
          <t>1~10(20)千伏</t>
        </is>
      </c>
      <c r="D3" s="5" t="n">
        <v>0.205</v>
      </c>
      <c r="E3" s="5" t="n">
        <v>52</v>
      </c>
      <c r="F3" s="5" t="n">
        <v>33</v>
      </c>
      <c r="G3" s="5" t="n"/>
      <c r="H3" s="5" t="inlineStr">
        <is>
          <t>北京</t>
        </is>
      </c>
    </row>
    <row r="4">
      <c r="A4" s="5" t="inlineStr">
        <is>
          <t>北京|35千伏</t>
        </is>
      </c>
      <c r="B4" s="5" t="inlineStr">
        <is>
          <t>北京</t>
        </is>
      </c>
      <c r="C4" s="5" t="inlineStr">
        <is>
          <t>35千伏</t>
        </is>
      </c>
      <c r="D4" s="5" t="n">
        <v>0.165</v>
      </c>
      <c r="E4" s="5" t="n">
        <v>48</v>
      </c>
      <c r="F4" s="5" t="n">
        <v>30</v>
      </c>
      <c r="G4" s="5" t="n"/>
      <c r="H4" s="5" t="inlineStr">
        <is>
          <t>天津</t>
        </is>
      </c>
    </row>
    <row r="5">
      <c r="A5" s="5" t="inlineStr">
        <is>
          <t>北京|110千伏</t>
        </is>
      </c>
      <c r="B5" s="5" t="inlineStr">
        <is>
          <t>北京</t>
        </is>
      </c>
      <c r="C5" s="5" t="inlineStr">
        <is>
          <t>110千伏</t>
        </is>
      </c>
      <c r="D5" s="5" t="n">
        <v>0.165</v>
      </c>
      <c r="E5" s="5" t="n">
        <v>48</v>
      </c>
      <c r="F5" s="5" t="n">
        <v>30</v>
      </c>
      <c r="G5" s="5" t="n"/>
      <c r="H5" s="5" t="inlineStr">
        <is>
          <t>河北（南网价区）</t>
        </is>
      </c>
    </row>
    <row r="6">
      <c r="A6" s="5" t="inlineStr">
        <is>
          <t>北京|220千伏及以上</t>
        </is>
      </c>
      <c r="B6" s="5" t="inlineStr">
        <is>
          <t>北京</t>
        </is>
      </c>
      <c r="C6" s="5" t="inlineStr">
        <is>
          <t>220千伏及以上</t>
        </is>
      </c>
      <c r="D6" s="5" t="n">
        <v>0.15</v>
      </c>
      <c r="E6" s="5" t="n">
        <v>45</v>
      </c>
      <c r="F6" s="5" t="n">
        <v>28</v>
      </c>
      <c r="G6" s="5" t="n"/>
      <c r="H6" s="5" t="inlineStr">
        <is>
          <t>冀北</t>
        </is>
      </c>
    </row>
    <row r="7">
      <c r="A7" s="5" t="inlineStr">
        <is>
          <t>天津|1~10(20)千伏</t>
        </is>
      </c>
      <c r="B7" s="5" t="inlineStr">
        <is>
          <t>天津</t>
        </is>
      </c>
      <c r="C7" s="5" t="inlineStr">
        <is>
          <t>1~10(20)千伏</t>
        </is>
      </c>
      <c r="D7" s="5" t="n">
        <v>0.1631</v>
      </c>
      <c r="E7" s="5" t="n">
        <v>43.2</v>
      </c>
      <c r="F7" s="5" t="n">
        <v>27</v>
      </c>
      <c r="G7" s="5" t="n"/>
      <c r="H7" s="5" t="inlineStr">
        <is>
          <t>山西</t>
        </is>
      </c>
    </row>
    <row r="8">
      <c r="A8" s="5" t="inlineStr">
        <is>
          <t>天津|35千伏</t>
        </is>
      </c>
      <c r="B8" s="5" t="inlineStr">
        <is>
          <t>天津</t>
        </is>
      </c>
      <c r="C8" s="5" t="inlineStr">
        <is>
          <t>35千伏</t>
        </is>
      </c>
      <c r="D8" s="5" t="n">
        <v>0.1402</v>
      </c>
      <c r="E8" s="5" t="n">
        <v>40</v>
      </c>
      <c r="F8" s="5" t="n">
        <v>25</v>
      </c>
      <c r="G8" s="5" t="n"/>
      <c r="H8" s="5" t="inlineStr">
        <is>
          <t>蒙东</t>
        </is>
      </c>
    </row>
    <row r="9">
      <c r="A9" s="5" t="inlineStr">
        <is>
          <t>天津|110千伏</t>
        </is>
      </c>
      <c r="B9" s="5" t="inlineStr">
        <is>
          <t>天津</t>
        </is>
      </c>
      <c r="C9" s="5" t="inlineStr">
        <is>
          <t>110千伏</t>
        </is>
      </c>
      <c r="D9" s="5" t="n">
        <v>0.1264</v>
      </c>
      <c r="E9" s="5" t="n">
        <v>40</v>
      </c>
      <c r="F9" s="5" t="n">
        <v>25</v>
      </c>
      <c r="G9" s="5" t="n"/>
      <c r="H9" s="5" t="inlineStr">
        <is>
          <t>蒙西（内蒙古电力）</t>
        </is>
      </c>
    </row>
    <row r="10">
      <c r="A10" s="5" t="inlineStr">
        <is>
          <t>天津|220千伏及以上</t>
        </is>
      </c>
      <c r="B10" s="5" t="inlineStr">
        <is>
          <t>天津</t>
        </is>
      </c>
      <c r="C10" s="5" t="inlineStr">
        <is>
          <t>220千伏及以上</t>
        </is>
      </c>
      <c r="D10" s="5" t="n">
        <v>0.1052</v>
      </c>
      <c r="E10" s="5" t="n">
        <v>36.8</v>
      </c>
      <c r="F10" s="5" t="n">
        <v>23</v>
      </c>
      <c r="G10" s="5" t="n"/>
      <c r="H10" s="5" t="inlineStr">
        <is>
          <t>辽宁</t>
        </is>
      </c>
    </row>
    <row r="11">
      <c r="A11" s="5" t="inlineStr">
        <is>
          <t>河北（南网价区）|1~10(20)千伏</t>
        </is>
      </c>
      <c r="B11" s="5" t="inlineStr">
        <is>
          <t>河北（南网价区）</t>
        </is>
      </c>
      <c r="C11" s="5" t="inlineStr">
        <is>
          <t>1~10(20)千伏</t>
        </is>
      </c>
      <c r="D11" s="5" t="n">
        <v>0.1476</v>
      </c>
      <c r="E11" s="5" t="n">
        <v>35.2</v>
      </c>
      <c r="F11" s="5" t="n">
        <v>22</v>
      </c>
      <c r="G11" s="5" t="n"/>
      <c r="H11" s="5" t="inlineStr">
        <is>
          <t>吉林</t>
        </is>
      </c>
    </row>
    <row r="12">
      <c r="A12" s="5" t="inlineStr">
        <is>
          <t>河北（南网价区）|35千伏</t>
        </is>
      </c>
      <c r="B12" s="5" t="inlineStr">
        <is>
          <t>河北（南网价区）</t>
        </is>
      </c>
      <c r="C12" s="5" t="inlineStr">
        <is>
          <t>35千伏</t>
        </is>
      </c>
      <c r="D12" s="5" t="n">
        <v>0.1226</v>
      </c>
      <c r="E12" s="5" t="n">
        <v>33.6</v>
      </c>
      <c r="F12" s="5" t="n">
        <v>21</v>
      </c>
      <c r="G12" s="5" t="n"/>
      <c r="H12" s="5" t="inlineStr">
        <is>
          <t>黑龙江</t>
        </is>
      </c>
    </row>
    <row r="13">
      <c r="A13" s="5" t="inlineStr">
        <is>
          <t>河北（南网价区）|110千伏</t>
        </is>
      </c>
      <c r="B13" s="5" t="inlineStr">
        <is>
          <t>河北（南网价区）</t>
        </is>
      </c>
      <c r="C13" s="5" t="inlineStr">
        <is>
          <t>110千伏</t>
        </is>
      </c>
      <c r="D13" s="5" t="n">
        <v>0.09760000000000001</v>
      </c>
      <c r="E13" s="5" t="n">
        <v>32</v>
      </c>
      <c r="F13" s="5" t="n">
        <v>20</v>
      </c>
      <c r="G13" s="5" t="n"/>
      <c r="H13" s="5" t="inlineStr">
        <is>
          <t>上海</t>
        </is>
      </c>
    </row>
    <row r="14">
      <c r="A14" s="5" t="inlineStr">
        <is>
          <t>河北（南网价区）|220千伏及以上</t>
        </is>
      </c>
      <c r="B14" s="5" t="inlineStr">
        <is>
          <t>河北（南网价区）</t>
        </is>
      </c>
      <c r="C14" s="5" t="inlineStr">
        <is>
          <t>220千伏及以上</t>
        </is>
      </c>
      <c r="D14" s="5" t="n">
        <v>0.0726</v>
      </c>
      <c r="E14" s="5" t="n">
        <v>30.4</v>
      </c>
      <c r="F14" s="5" t="n">
        <v>19</v>
      </c>
      <c r="G14" s="5" t="n"/>
      <c r="H14" s="5" t="inlineStr">
        <is>
          <t>江苏</t>
        </is>
      </c>
    </row>
    <row r="15">
      <c r="A15" s="5" t="inlineStr">
        <is>
          <t>冀北|1~10(20)千伏</t>
        </is>
      </c>
      <c r="B15" s="5" t="inlineStr">
        <is>
          <t>冀北</t>
        </is>
      </c>
      <c r="C15" s="5" t="inlineStr">
        <is>
          <t>1~10(20)千伏</t>
        </is>
      </c>
      <c r="D15" s="5" t="n">
        <v>0.1365</v>
      </c>
      <c r="E15" s="5" t="n">
        <v>37.8</v>
      </c>
      <c r="F15" s="5" t="n">
        <v>23.6</v>
      </c>
      <c r="G15" s="5" t="n"/>
      <c r="H15" s="5" t="inlineStr">
        <is>
          <t>浙江</t>
        </is>
      </c>
    </row>
    <row r="16">
      <c r="A16" s="5" t="inlineStr">
        <is>
          <t>冀北|35千伏</t>
        </is>
      </c>
      <c r="B16" s="5" t="inlineStr">
        <is>
          <t>冀北</t>
        </is>
      </c>
      <c r="C16" s="5" t="inlineStr">
        <is>
          <t>35千伏</t>
        </is>
      </c>
      <c r="D16" s="5" t="n">
        <v>0.1145</v>
      </c>
      <c r="E16" s="5" t="n">
        <v>36.2</v>
      </c>
      <c r="F16" s="5" t="n">
        <v>22.6</v>
      </c>
      <c r="G16" s="5" t="n"/>
      <c r="H16" s="5" t="inlineStr">
        <is>
          <t>安徽</t>
        </is>
      </c>
    </row>
    <row r="17">
      <c r="A17" s="5" t="inlineStr">
        <is>
          <t>冀北|110千伏</t>
        </is>
      </c>
      <c r="B17" s="5" t="inlineStr">
        <is>
          <t>冀北</t>
        </is>
      </c>
      <c r="C17" s="5" t="inlineStr">
        <is>
          <t>110千伏</t>
        </is>
      </c>
      <c r="D17" s="5" t="n">
        <v>0.0925</v>
      </c>
      <c r="E17" s="5" t="n">
        <v>34.6</v>
      </c>
      <c r="F17" s="5" t="n">
        <v>21.6</v>
      </c>
      <c r="G17" s="5" t="n"/>
      <c r="H17" s="5" t="inlineStr">
        <is>
          <t>福建</t>
        </is>
      </c>
    </row>
    <row r="18">
      <c r="A18" s="5" t="inlineStr">
        <is>
          <t>冀北|220千伏及以上</t>
        </is>
      </c>
      <c r="B18" s="5" t="inlineStr">
        <is>
          <t>冀北</t>
        </is>
      </c>
      <c r="C18" s="5" t="inlineStr">
        <is>
          <t>220千伏及以上</t>
        </is>
      </c>
      <c r="D18" s="5" t="n">
        <v>0.07049999999999999</v>
      </c>
      <c r="E18" s="5" t="n">
        <v>33</v>
      </c>
      <c r="F18" s="5" t="n">
        <v>20.6</v>
      </c>
      <c r="G18" s="5" t="n"/>
      <c r="H18" s="5" t="inlineStr">
        <is>
          <t>江西</t>
        </is>
      </c>
    </row>
    <row r="19">
      <c r="A19" s="5" t="inlineStr">
        <is>
          <t>山西|1~10(20)千伏</t>
        </is>
      </c>
      <c r="B19" s="5" t="inlineStr">
        <is>
          <t>山西</t>
        </is>
      </c>
      <c r="C19" s="5" t="inlineStr">
        <is>
          <t>1~10(20)千伏</t>
        </is>
      </c>
      <c r="D19" s="5" t="n">
        <v>0.104</v>
      </c>
      <c r="E19" s="5" t="n">
        <v>34.8</v>
      </c>
      <c r="F19" s="5" t="n">
        <v>21.8</v>
      </c>
      <c r="G19" s="5" t="n"/>
      <c r="H19" s="5" t="inlineStr">
        <is>
          <t>山东</t>
        </is>
      </c>
    </row>
    <row r="20">
      <c r="A20" s="5" t="inlineStr">
        <is>
          <t>山西|35千伏</t>
        </is>
      </c>
      <c r="B20" s="5" t="inlineStr">
        <is>
          <t>山西</t>
        </is>
      </c>
      <c r="C20" s="5" t="inlineStr">
        <is>
          <t>35千伏</t>
        </is>
      </c>
      <c r="D20" s="5" t="n">
        <v>0.074</v>
      </c>
      <c r="E20" s="5" t="n">
        <v>34</v>
      </c>
      <c r="F20" s="5" t="n">
        <v>21.3</v>
      </c>
      <c r="G20" s="5" t="n"/>
      <c r="H20" s="5" t="inlineStr">
        <is>
          <t>河南</t>
        </is>
      </c>
    </row>
    <row r="21">
      <c r="A21" s="5" t="inlineStr">
        <is>
          <t>山西|110千伏</t>
        </is>
      </c>
      <c r="B21" s="5" t="inlineStr">
        <is>
          <t>山西</t>
        </is>
      </c>
      <c r="C21" s="5" t="inlineStr">
        <is>
          <t>110千伏</t>
        </is>
      </c>
      <c r="D21" s="5" t="n">
        <v>0.049</v>
      </c>
      <c r="E21" s="5" t="n">
        <v>31.6</v>
      </c>
      <c r="F21" s="5" t="n">
        <v>19.8</v>
      </c>
      <c r="G21" s="5" t="n"/>
      <c r="H21" s="5" t="inlineStr">
        <is>
          <t>湖北</t>
        </is>
      </c>
    </row>
    <row r="22">
      <c r="A22" s="5" t="inlineStr">
        <is>
          <t>山西|220千伏及以上</t>
        </is>
      </c>
      <c r="B22" s="5" t="inlineStr">
        <is>
          <t>山西</t>
        </is>
      </c>
      <c r="C22" s="5" t="inlineStr">
        <is>
          <t>220千伏及以上</t>
        </is>
      </c>
      <c r="D22" s="5" t="n">
        <v>0.029</v>
      </c>
      <c r="E22" s="5" t="n">
        <v>30</v>
      </c>
      <c r="F22" s="5" t="n">
        <v>18.8</v>
      </c>
      <c r="G22" s="5" t="n"/>
      <c r="H22" s="5" t="inlineStr">
        <is>
          <t>湖南</t>
        </is>
      </c>
    </row>
    <row r="23">
      <c r="A23" s="5" t="inlineStr">
        <is>
          <t>蒙东|1~10(20)千伏</t>
        </is>
      </c>
      <c r="B23" s="5" t="inlineStr">
        <is>
          <t>蒙东</t>
        </is>
      </c>
      <c r="C23" s="5" t="inlineStr">
        <is>
          <t>1~10(20)千伏</t>
        </is>
      </c>
      <c r="D23" s="5" t="n">
        <v>0.1346</v>
      </c>
      <c r="E23" s="5" t="n">
        <v>32.8</v>
      </c>
      <c r="F23" s="5" t="n">
        <v>20.5</v>
      </c>
      <c r="G23" s="5" t="n"/>
      <c r="H23" s="5" t="inlineStr">
        <is>
          <t>广东（不含深圳）</t>
        </is>
      </c>
    </row>
    <row r="24">
      <c r="A24" s="5" t="inlineStr">
        <is>
          <t>蒙东|35千伏</t>
        </is>
      </c>
      <c r="B24" s="5" t="inlineStr">
        <is>
          <t>蒙东</t>
        </is>
      </c>
      <c r="C24" s="5" t="inlineStr">
        <is>
          <t>35千伏</t>
        </is>
      </c>
      <c r="D24" s="5" t="n">
        <v>0.108</v>
      </c>
      <c r="E24" s="5" t="n">
        <v>32.8</v>
      </c>
      <c r="F24" s="5" t="n">
        <v>20.5</v>
      </c>
      <c r="G24" s="5" t="n"/>
      <c r="H24" s="5" t="inlineStr">
        <is>
          <t>深圳</t>
        </is>
      </c>
    </row>
    <row r="25">
      <c r="A25" s="5" t="inlineStr">
        <is>
          <t>蒙东|110千伏</t>
        </is>
      </c>
      <c r="B25" s="5" t="inlineStr">
        <is>
          <t>蒙东</t>
        </is>
      </c>
      <c r="C25" s="5" t="inlineStr">
        <is>
          <t>110千伏</t>
        </is>
      </c>
      <c r="D25" s="5" t="n">
        <v>0.08699999999999999</v>
      </c>
      <c r="E25" s="5" t="n">
        <v>31.2</v>
      </c>
      <c r="F25" s="5" t="n">
        <v>19.5</v>
      </c>
      <c r="G25" s="5" t="n"/>
      <c r="H25" s="5" t="inlineStr">
        <is>
          <t>广西</t>
        </is>
      </c>
    </row>
    <row r="26">
      <c r="A26" s="5" t="inlineStr">
        <is>
          <t>蒙东|220千伏及以上</t>
        </is>
      </c>
      <c r="B26" s="5" t="inlineStr">
        <is>
          <t>蒙东</t>
        </is>
      </c>
      <c r="C26" s="5" t="inlineStr">
        <is>
          <t>220千伏及以上</t>
        </is>
      </c>
      <c r="D26" s="5" t="n">
        <v>0.0601</v>
      </c>
      <c r="E26" s="5" t="n">
        <v>31.2</v>
      </c>
      <c r="F26" s="5" t="n">
        <v>19.5</v>
      </c>
      <c r="G26" s="5" t="n"/>
      <c r="H26" s="5" t="inlineStr">
        <is>
          <t>海南</t>
        </is>
      </c>
    </row>
    <row r="27">
      <c r="A27" s="5" t="inlineStr">
        <is>
          <t>蒙西（内蒙古电力）|1~10(20)千伏</t>
        </is>
      </c>
      <c r="B27" s="5" t="inlineStr">
        <is>
          <t>蒙西（内蒙古电力）</t>
        </is>
      </c>
      <c r="C27" s="5" t="inlineStr">
        <is>
          <t>1~10(20)千伏</t>
        </is>
      </c>
      <c r="D27" s="5" t="n">
        <v>0.07870000000000001</v>
      </c>
      <c r="E27" s="5" t="n">
        <v>32.8</v>
      </c>
      <c r="F27" s="5" t="n">
        <v>20.5</v>
      </c>
      <c r="G27" s="5" t="n"/>
      <c r="H27" s="5" t="inlineStr">
        <is>
          <t>重庆</t>
        </is>
      </c>
    </row>
    <row r="28">
      <c r="A28" s="5" t="inlineStr">
        <is>
          <t>蒙西（内蒙古电力）|35千伏</t>
        </is>
      </c>
      <c r="B28" s="5" t="inlineStr">
        <is>
          <t>蒙西（内蒙古电力）</t>
        </is>
      </c>
      <c r="C28" s="5" t="inlineStr">
        <is>
          <t>35千伏</t>
        </is>
      </c>
      <c r="D28" s="5" t="n">
        <v>0.06370000000000001</v>
      </c>
      <c r="E28" s="5" t="n">
        <v>32.8</v>
      </c>
      <c r="F28" s="5" t="n">
        <v>20.5</v>
      </c>
      <c r="G28" s="5" t="n"/>
      <c r="H28" s="5" t="inlineStr">
        <is>
          <t>四川</t>
        </is>
      </c>
    </row>
    <row r="29">
      <c r="A29" s="5" t="inlineStr">
        <is>
          <t>蒙西（内蒙古电力）|110千伏</t>
        </is>
      </c>
      <c r="B29" s="5" t="inlineStr">
        <is>
          <t>蒙西（内蒙古电力）</t>
        </is>
      </c>
      <c r="C29" s="5" t="inlineStr">
        <is>
          <t>110千伏</t>
        </is>
      </c>
      <c r="D29" s="5" t="n">
        <v>0.052</v>
      </c>
      <c r="E29" s="5" t="n">
        <v>31.2</v>
      </c>
      <c r="F29" s="5" t="n">
        <v>19.5</v>
      </c>
      <c r="G29" s="5" t="n"/>
      <c r="H29" s="5" t="inlineStr">
        <is>
          <t>贵州</t>
        </is>
      </c>
    </row>
    <row r="30">
      <c r="A30" s="5" t="inlineStr">
        <is>
          <t>蒙西（内蒙古电力）|220千伏及以上</t>
        </is>
      </c>
      <c r="B30" s="5" t="inlineStr">
        <is>
          <t>蒙西（内蒙古电力）</t>
        </is>
      </c>
      <c r="C30" s="5" t="inlineStr">
        <is>
          <t>220千伏及以上</t>
        </is>
      </c>
      <c r="D30" s="5" t="n">
        <v>0.0429</v>
      </c>
      <c r="E30" s="5" t="n">
        <v>31.2</v>
      </c>
      <c r="F30" s="5" t="n">
        <v>19.5</v>
      </c>
      <c r="G30" s="5" t="n"/>
      <c r="H30" s="5" t="inlineStr">
        <is>
          <t>云南</t>
        </is>
      </c>
    </row>
    <row r="31">
      <c r="A31" s="5" t="inlineStr">
        <is>
          <t>辽宁|1~10(20)千伏</t>
        </is>
      </c>
      <c r="B31" s="5" t="inlineStr">
        <is>
          <t>辽宁</t>
        </is>
      </c>
      <c r="C31" s="5" t="inlineStr">
        <is>
          <t>1~10(20)千伏</t>
        </is>
      </c>
      <c r="D31" s="5" t="n">
        <v>0.1053</v>
      </c>
      <c r="E31" s="5" t="n">
        <v>38.4</v>
      </c>
      <c r="F31" s="5" t="n">
        <v>24</v>
      </c>
      <c r="G31" s="5" t="n"/>
      <c r="H31" s="5" t="inlineStr">
        <is>
          <t>陕西（不含榆林）</t>
        </is>
      </c>
    </row>
    <row r="32">
      <c r="A32" s="5" t="inlineStr">
        <is>
          <t>辽宁|110千伏</t>
        </is>
      </c>
      <c r="B32" s="5" t="inlineStr">
        <is>
          <t>辽宁</t>
        </is>
      </c>
      <c r="C32" s="5" t="inlineStr">
        <is>
          <t>110千伏</t>
        </is>
      </c>
      <c r="D32" s="5" t="n">
        <v>0.08400000000000001</v>
      </c>
      <c r="E32" s="5" t="n">
        <v>36.8</v>
      </c>
      <c r="F32" s="5" t="n">
        <v>23</v>
      </c>
      <c r="G32" s="5" t="n"/>
      <c r="H32" s="5" t="inlineStr">
        <is>
          <t>陕西（榆林地区）</t>
        </is>
      </c>
    </row>
    <row r="33">
      <c r="A33" s="5" t="inlineStr">
        <is>
          <t>辽宁|220千伏及以上</t>
        </is>
      </c>
      <c r="B33" s="5" t="inlineStr">
        <is>
          <t>辽宁</t>
        </is>
      </c>
      <c r="C33" s="5" t="inlineStr">
        <is>
          <t>220千伏及以上</t>
        </is>
      </c>
      <c r="D33" s="5" t="n">
        <v>0.0571</v>
      </c>
      <c r="E33" s="5" t="n">
        <v>35.2</v>
      </c>
      <c r="F33" s="5" t="n">
        <v>22</v>
      </c>
      <c r="G33" s="5" t="n"/>
      <c r="H33" s="5" t="inlineStr">
        <is>
          <t>甘肃</t>
        </is>
      </c>
    </row>
    <row r="34">
      <c r="A34" s="5" t="inlineStr">
        <is>
          <t>吉林|1~10(20)千伏</t>
        </is>
      </c>
      <c r="B34" s="5" t="inlineStr">
        <is>
          <t>吉林</t>
        </is>
      </c>
      <c r="C34" s="5" t="inlineStr">
        <is>
          <t>1~10(20)千伏</t>
        </is>
      </c>
      <c r="D34" s="5" t="n">
        <v>0.1513</v>
      </c>
      <c r="E34" s="5" t="n">
        <v>38.4</v>
      </c>
      <c r="F34" s="5" t="n">
        <v>24</v>
      </c>
      <c r="G34" s="5" t="n"/>
      <c r="H34" s="5" t="inlineStr">
        <is>
          <t>青海</t>
        </is>
      </c>
    </row>
    <row r="35">
      <c r="A35" s="5" t="inlineStr">
        <is>
          <t>吉林|110千伏</t>
        </is>
      </c>
      <c r="B35" s="5" t="inlineStr">
        <is>
          <t>吉林</t>
        </is>
      </c>
      <c r="C35" s="5" t="inlineStr">
        <is>
          <t>110千伏</t>
        </is>
      </c>
      <c r="D35" s="5" t="n">
        <v>0.1213</v>
      </c>
      <c r="E35" s="5" t="n">
        <v>36.8</v>
      </c>
      <c r="F35" s="5" t="n">
        <v>23</v>
      </c>
      <c r="G35" s="5" t="n"/>
      <c r="H35" s="5" t="inlineStr">
        <is>
          <t>宁夏</t>
        </is>
      </c>
    </row>
    <row r="36">
      <c r="A36" s="5" t="inlineStr">
        <is>
          <t>吉林|220千伏及以上</t>
        </is>
      </c>
      <c r="B36" s="5" t="inlineStr">
        <is>
          <t>吉林</t>
        </is>
      </c>
      <c r="C36" s="5" t="inlineStr">
        <is>
          <t>220千伏及以上</t>
        </is>
      </c>
      <c r="D36" s="5" t="n">
        <v>0.1113</v>
      </c>
      <c r="E36" s="5" t="n">
        <v>36.8</v>
      </c>
      <c r="F36" s="5" t="n">
        <v>23</v>
      </c>
      <c r="G36" s="5" t="n"/>
      <c r="H36" s="5" t="inlineStr">
        <is>
          <t>新疆</t>
        </is>
      </c>
    </row>
    <row r="37">
      <c r="A37" s="5" t="inlineStr">
        <is>
          <t>黑龙江|1~10(20)千伏</t>
        </is>
      </c>
      <c r="B37" s="5" t="inlineStr">
        <is>
          <t>黑龙江</t>
        </is>
      </c>
      <c r="C37" s="5" t="inlineStr">
        <is>
          <t>1~10(20)千伏</t>
        </is>
      </c>
      <c r="D37" s="5" t="n">
        <v>0.1385</v>
      </c>
      <c r="E37" s="5" t="n">
        <v>36.8</v>
      </c>
      <c r="F37" s="5" t="n">
        <v>23</v>
      </c>
      <c r="G37" s="5" t="n"/>
      <c r="H37" s="5" t="n"/>
    </row>
    <row r="38">
      <c r="A38" s="5" t="inlineStr">
        <is>
          <t>黑龙江|35千伏</t>
        </is>
      </c>
      <c r="B38" s="5" t="inlineStr">
        <is>
          <t>黑龙江</t>
        </is>
      </c>
      <c r="C38" s="5" t="inlineStr">
        <is>
          <t>35千伏</t>
        </is>
      </c>
      <c r="D38" s="5" t="n">
        <v>0.1171</v>
      </c>
      <c r="E38" s="5" t="n">
        <v>36.8</v>
      </c>
      <c r="F38" s="5" t="n">
        <v>23</v>
      </c>
      <c r="G38" s="5" t="n"/>
      <c r="H38" s="5" t="n"/>
    </row>
    <row r="39">
      <c r="A39" s="5" t="inlineStr">
        <is>
          <t>黑龙江|110千伏</t>
        </is>
      </c>
      <c r="B39" s="5" t="inlineStr">
        <is>
          <t>黑龙江</t>
        </is>
      </c>
      <c r="C39" s="5" t="inlineStr">
        <is>
          <t>110千伏</t>
        </is>
      </c>
      <c r="D39" s="5" t="n">
        <v>0.1026</v>
      </c>
      <c r="E39" s="5" t="n">
        <v>35.2</v>
      </c>
      <c r="F39" s="5" t="n">
        <v>22</v>
      </c>
      <c r="G39" s="5" t="n"/>
      <c r="H39" s="5" t="n"/>
    </row>
    <row r="40">
      <c r="A40" s="5" t="inlineStr">
        <is>
          <t>黑龙江|220千伏及以上</t>
        </is>
      </c>
      <c r="B40" s="5" t="inlineStr">
        <is>
          <t>黑龙江</t>
        </is>
      </c>
      <c r="C40" s="5" t="inlineStr">
        <is>
          <t>220千伏及以上</t>
        </is>
      </c>
      <c r="D40" s="5" t="n">
        <v>0.07630000000000001</v>
      </c>
      <c r="E40" s="5" t="n">
        <v>35.2</v>
      </c>
      <c r="F40" s="5" t="n">
        <v>22</v>
      </c>
      <c r="G40" s="5" t="n"/>
      <c r="H40" s="5" t="n"/>
    </row>
    <row r="41">
      <c r="A41" s="5" t="inlineStr">
        <is>
          <t>上海|1~10(20)千伏</t>
        </is>
      </c>
      <c r="B41" s="5" t="inlineStr">
        <is>
          <t>上海</t>
        </is>
      </c>
      <c r="C41" s="5" t="inlineStr">
        <is>
          <t>1~10(20)千伏</t>
        </is>
      </c>
      <c r="D41" s="5" t="n">
        <v>0.1623</v>
      </c>
      <c r="E41" s="5" t="n">
        <v>44.8</v>
      </c>
      <c r="F41" s="5" t="n">
        <v>28</v>
      </c>
      <c r="G41" s="5" t="n"/>
      <c r="H41" s="5" t="n"/>
    </row>
    <row r="42">
      <c r="A42" s="5" t="inlineStr">
        <is>
          <t>上海|35千伏</t>
        </is>
      </c>
      <c r="B42" s="5" t="inlineStr">
        <is>
          <t>上海</t>
        </is>
      </c>
      <c r="C42" s="5" t="inlineStr">
        <is>
          <t>35千伏</t>
        </is>
      </c>
      <c r="D42" s="5" t="n">
        <v>0.1268</v>
      </c>
      <c r="E42" s="5" t="n">
        <v>41.6</v>
      </c>
      <c r="F42" s="5" t="n">
        <v>26</v>
      </c>
      <c r="G42" s="5" t="n"/>
      <c r="H42" s="5" t="n"/>
    </row>
    <row r="43">
      <c r="A43" s="5" t="inlineStr">
        <is>
          <t>上海|110千伏</t>
        </is>
      </c>
      <c r="B43" s="5" t="inlineStr">
        <is>
          <t>上海</t>
        </is>
      </c>
      <c r="C43" s="5" t="inlineStr">
        <is>
          <t>110千伏</t>
        </is>
      </c>
      <c r="D43" s="5" t="n">
        <v>0.0953</v>
      </c>
      <c r="E43" s="5" t="n">
        <v>38.4</v>
      </c>
      <c r="F43" s="5" t="n">
        <v>24</v>
      </c>
      <c r="G43" s="5" t="n"/>
      <c r="H43" s="5" t="n"/>
    </row>
    <row r="44">
      <c r="A44" s="5" t="inlineStr">
        <is>
          <t>上海|220千伏及以上</t>
        </is>
      </c>
      <c r="B44" s="5" t="inlineStr">
        <is>
          <t>上海</t>
        </is>
      </c>
      <c r="C44" s="5" t="inlineStr">
        <is>
          <t>220千伏及以上</t>
        </is>
      </c>
      <c r="D44" s="5" t="n">
        <v>0.0851</v>
      </c>
      <c r="E44" s="5" t="n">
        <v>35.2</v>
      </c>
      <c r="F44" s="5" t="n">
        <v>22</v>
      </c>
      <c r="G44" s="5" t="n"/>
      <c r="H44" s="5" t="n"/>
    </row>
    <row r="45">
      <c r="A45" s="5" t="inlineStr">
        <is>
          <t>江苏|1~10(20)千伏</t>
        </is>
      </c>
      <c r="B45" s="5" t="inlineStr">
        <is>
          <t>江苏</t>
        </is>
      </c>
      <c r="C45" s="5" t="inlineStr">
        <is>
          <t>1~10(20)千伏</t>
        </is>
      </c>
      <c r="D45" s="5" t="n">
        <v>0.1298</v>
      </c>
      <c r="E45" s="5" t="n">
        <v>51.2</v>
      </c>
      <c r="F45" s="5" t="n">
        <v>32</v>
      </c>
      <c r="G45" s="5" t="n"/>
      <c r="H45" s="5" t="n"/>
    </row>
    <row r="46">
      <c r="A46" s="5" t="inlineStr">
        <is>
          <t>江苏|35千伏</t>
        </is>
      </c>
      <c r="B46" s="5" t="inlineStr">
        <is>
          <t>江苏</t>
        </is>
      </c>
      <c r="C46" s="5" t="inlineStr">
        <is>
          <t>35千伏</t>
        </is>
      </c>
      <c r="D46" s="5" t="n">
        <v>0.1048</v>
      </c>
      <c r="E46" s="5" t="n">
        <v>48</v>
      </c>
      <c r="F46" s="5" t="n">
        <v>30</v>
      </c>
      <c r="G46" s="5" t="n"/>
      <c r="H46" s="5" t="n"/>
    </row>
    <row r="47">
      <c r="A47" s="5" t="inlineStr">
        <is>
          <t>江苏|110千伏</t>
        </is>
      </c>
      <c r="B47" s="5" t="inlineStr">
        <is>
          <t>江苏</t>
        </is>
      </c>
      <c r="C47" s="5" t="inlineStr">
        <is>
          <t>110千伏</t>
        </is>
      </c>
      <c r="D47" s="5" t="n">
        <v>0.0788</v>
      </c>
      <c r="E47" s="5" t="n">
        <v>44.8</v>
      </c>
      <c r="F47" s="5" t="n">
        <v>28</v>
      </c>
      <c r="G47" s="5" t="n"/>
      <c r="H47" s="5" t="n"/>
    </row>
    <row r="48">
      <c r="A48" s="5" t="inlineStr">
        <is>
          <t>江苏|220千伏及以上</t>
        </is>
      </c>
      <c r="B48" s="5" t="inlineStr">
        <is>
          <t>江苏</t>
        </is>
      </c>
      <c r="C48" s="5" t="inlineStr">
        <is>
          <t>220千伏及以上</t>
        </is>
      </c>
      <c r="D48" s="5" t="n">
        <v>0.0518</v>
      </c>
      <c r="E48" s="5" t="n">
        <v>41.6</v>
      </c>
      <c r="F48" s="5" t="n">
        <v>26</v>
      </c>
      <c r="G48" s="5" t="n"/>
      <c r="H48" s="5" t="n"/>
    </row>
    <row r="49">
      <c r="A49" s="5" t="inlineStr">
        <is>
          <t>浙江|1~10(20)千伏</t>
        </is>
      </c>
      <c r="B49" s="5" t="inlineStr">
        <is>
          <t>浙江</t>
        </is>
      </c>
      <c r="C49" s="5" t="inlineStr">
        <is>
          <t>1~10(20)千伏</t>
        </is>
      </c>
      <c r="D49" s="5" t="n">
        <v>0.125</v>
      </c>
      <c r="E49" s="5" t="n">
        <v>47.2</v>
      </c>
      <c r="F49" s="5" t="n">
        <v>29.5</v>
      </c>
      <c r="G49" s="5" t="n"/>
      <c r="H49" s="5" t="n"/>
    </row>
    <row r="50">
      <c r="A50" s="5" t="inlineStr">
        <is>
          <t>浙江|35千伏</t>
        </is>
      </c>
      <c r="B50" s="5" t="inlineStr">
        <is>
          <t>浙江</t>
        </is>
      </c>
      <c r="C50" s="5" t="inlineStr">
        <is>
          <t>35千伏</t>
        </is>
      </c>
      <c r="D50" s="5" t="n">
        <v>0.0895</v>
      </c>
      <c r="E50" s="5" t="n">
        <v>44</v>
      </c>
      <c r="F50" s="5" t="n">
        <v>27.5</v>
      </c>
      <c r="G50" s="5" t="n"/>
      <c r="H50" s="5" t="n"/>
    </row>
    <row r="51">
      <c r="A51" s="5" t="inlineStr">
        <is>
          <t>浙江|110千伏</t>
        </is>
      </c>
      <c r="B51" s="5" t="inlineStr">
        <is>
          <t>浙江</t>
        </is>
      </c>
      <c r="C51" s="5" t="inlineStr">
        <is>
          <t>110千伏</t>
        </is>
      </c>
      <c r="D51" s="5" t="n">
        <v>0.0767</v>
      </c>
      <c r="E51" s="5" t="n">
        <v>40.8</v>
      </c>
      <c r="F51" s="5" t="n">
        <v>25.5</v>
      </c>
      <c r="G51" s="5" t="n"/>
      <c r="H51" s="5" t="n"/>
    </row>
    <row r="52">
      <c r="A52" s="5" t="inlineStr">
        <is>
          <t>浙江|220千伏及以上</t>
        </is>
      </c>
      <c r="B52" s="5" t="inlineStr">
        <is>
          <t>浙江</t>
        </is>
      </c>
      <c r="C52" s="5" t="inlineStr">
        <is>
          <t>220千伏及以上</t>
        </is>
      </c>
      <c r="D52" s="5" t="n">
        <v>0.0663</v>
      </c>
      <c r="E52" s="5" t="n">
        <v>37.6</v>
      </c>
      <c r="F52" s="5" t="n">
        <v>23.5</v>
      </c>
      <c r="G52" s="5" t="n"/>
      <c r="H52" s="5" t="n"/>
    </row>
    <row r="53">
      <c r="A53" s="5" t="inlineStr">
        <is>
          <t>安徽|1~10(20)千伏</t>
        </is>
      </c>
      <c r="B53" s="5" t="inlineStr">
        <is>
          <t>安徽</t>
        </is>
      </c>
      <c r="C53" s="5" t="inlineStr">
        <is>
          <t>1~10(20)千伏</t>
        </is>
      </c>
      <c r="D53" s="5" t="n">
        <v>0.1324</v>
      </c>
      <c r="E53" s="5" t="n">
        <v>46.4</v>
      </c>
      <c r="F53" s="5" t="n">
        <v>29</v>
      </c>
      <c r="G53" s="5" t="n"/>
      <c r="H53" s="5" t="n"/>
    </row>
    <row r="54">
      <c r="A54" s="5" t="inlineStr">
        <is>
          <t>安徽|35千伏</t>
        </is>
      </c>
      <c r="B54" s="5" t="inlineStr">
        <is>
          <t>安徽</t>
        </is>
      </c>
      <c r="C54" s="5" t="inlineStr">
        <is>
          <t>35千伏</t>
        </is>
      </c>
      <c r="D54" s="5" t="n">
        <v>0.107</v>
      </c>
      <c r="E54" s="5" t="n">
        <v>43.2</v>
      </c>
      <c r="F54" s="5" t="n">
        <v>27</v>
      </c>
      <c r="G54" s="5" t="n"/>
      <c r="H54" s="5" t="n"/>
    </row>
    <row r="55">
      <c r="A55" s="5" t="inlineStr">
        <is>
          <t>安徽|110千伏</t>
        </is>
      </c>
      <c r="B55" s="5" t="inlineStr">
        <is>
          <t>安徽</t>
        </is>
      </c>
      <c r="C55" s="5" t="inlineStr">
        <is>
          <t>110千伏</t>
        </is>
      </c>
      <c r="D55" s="5" t="n">
        <v>0.0809</v>
      </c>
      <c r="E55" s="5" t="n">
        <v>40.8</v>
      </c>
      <c r="F55" s="5" t="n">
        <v>25.5</v>
      </c>
      <c r="G55" s="5" t="n"/>
      <c r="H55" s="5" t="n"/>
    </row>
    <row r="56">
      <c r="A56" s="5" t="inlineStr">
        <is>
          <t>安徽|220千伏及以上</t>
        </is>
      </c>
      <c r="B56" s="5" t="inlineStr">
        <is>
          <t>安徽</t>
        </is>
      </c>
      <c r="C56" s="5" t="inlineStr">
        <is>
          <t>220千伏及以上</t>
        </is>
      </c>
      <c r="D56" s="5" t="n">
        <v>0.0548</v>
      </c>
      <c r="E56" s="5" t="n">
        <v>38.4</v>
      </c>
      <c r="F56" s="5" t="n">
        <v>24</v>
      </c>
      <c r="G56" s="5" t="n"/>
      <c r="H56" s="5" t="n"/>
    </row>
    <row r="57">
      <c r="A57" s="5" t="inlineStr">
        <is>
          <t>福建|1~10(20)千伏</t>
        </is>
      </c>
      <c r="B57" s="5" t="inlineStr">
        <is>
          <t>福建</t>
        </is>
      </c>
      <c r="C57" s="5" t="inlineStr">
        <is>
          <t>1~10(20)千伏</t>
        </is>
      </c>
      <c r="D57" s="5" t="n">
        <v>0.1219</v>
      </c>
      <c r="E57" s="5" t="n">
        <v>40</v>
      </c>
      <c r="F57" s="5" t="n">
        <v>25</v>
      </c>
      <c r="G57" s="5" t="n"/>
      <c r="H57" s="5" t="n"/>
    </row>
    <row r="58">
      <c r="A58" s="5" t="inlineStr">
        <is>
          <t>福建|35千伏</t>
        </is>
      </c>
      <c r="B58" s="5" t="inlineStr">
        <is>
          <t>福建</t>
        </is>
      </c>
      <c r="C58" s="5" t="inlineStr">
        <is>
          <t>35千伏</t>
        </is>
      </c>
      <c r="D58" s="5" t="n">
        <v>0.1019</v>
      </c>
      <c r="E58" s="5" t="n">
        <v>39</v>
      </c>
      <c r="F58" s="5" t="n">
        <v>24.4</v>
      </c>
      <c r="G58" s="5" t="n"/>
      <c r="H58" s="5" t="n"/>
    </row>
    <row r="59">
      <c r="A59" s="5" t="inlineStr">
        <is>
          <t>福建|110千伏</t>
        </is>
      </c>
      <c r="B59" s="5" t="inlineStr">
        <is>
          <t>福建</t>
        </is>
      </c>
      <c r="C59" s="5" t="inlineStr">
        <is>
          <t>110千伏</t>
        </is>
      </c>
      <c r="D59" s="5" t="n">
        <v>0.0769</v>
      </c>
      <c r="E59" s="5" t="n">
        <v>38</v>
      </c>
      <c r="F59" s="5" t="n">
        <v>23.8</v>
      </c>
      <c r="G59" s="5" t="n"/>
      <c r="H59" s="5" t="n"/>
    </row>
    <row r="60">
      <c r="A60" s="5" t="inlineStr">
        <is>
          <t>福建|220千伏及以上</t>
        </is>
      </c>
      <c r="B60" s="5" t="inlineStr">
        <is>
          <t>福建</t>
        </is>
      </c>
      <c r="C60" s="5" t="inlineStr">
        <is>
          <t>220千伏及以上</t>
        </is>
      </c>
      <c r="D60" s="5" t="n">
        <v>0.0462</v>
      </c>
      <c r="E60" s="5" t="n">
        <v>37</v>
      </c>
      <c r="F60" s="5" t="n">
        <v>23.1</v>
      </c>
      <c r="G60" s="5" t="n"/>
      <c r="H60" s="5" t="n"/>
    </row>
    <row r="61">
      <c r="A61" s="5" t="inlineStr">
        <is>
          <t>江西|1~10(20)千伏</t>
        </is>
      </c>
      <c r="B61" s="5" t="inlineStr">
        <is>
          <t>江西</t>
        </is>
      </c>
      <c r="C61" s="5" t="inlineStr">
        <is>
          <t>1~10(20)千伏</t>
        </is>
      </c>
      <c r="D61" s="5" t="n">
        <v>0.1485</v>
      </c>
      <c r="E61" s="5" t="n">
        <v>42.3</v>
      </c>
      <c r="F61" s="5" t="n">
        <v>26.4</v>
      </c>
      <c r="G61" s="5" t="n"/>
      <c r="H61" s="5" t="n"/>
    </row>
    <row r="62">
      <c r="A62" s="5" t="inlineStr">
        <is>
          <t>江西|35千伏</t>
        </is>
      </c>
      <c r="B62" s="5" t="inlineStr">
        <is>
          <t>江西</t>
        </is>
      </c>
      <c r="C62" s="5" t="inlineStr">
        <is>
          <t>35千伏</t>
        </is>
      </c>
      <c r="D62" s="5" t="n">
        <v>0.1285</v>
      </c>
      <c r="E62" s="5" t="n">
        <v>40.6</v>
      </c>
      <c r="F62" s="5" t="n">
        <v>25.4</v>
      </c>
      <c r="G62" s="5" t="n"/>
      <c r="H62" s="5" t="n"/>
    </row>
    <row r="63">
      <c r="A63" s="5" t="inlineStr">
        <is>
          <t>江西|110千伏</t>
        </is>
      </c>
      <c r="B63" s="5" t="inlineStr">
        <is>
          <t>江西</t>
        </is>
      </c>
      <c r="C63" s="5" t="inlineStr">
        <is>
          <t>110千伏</t>
        </is>
      </c>
      <c r="D63" s="5" t="n">
        <v>0.1085</v>
      </c>
      <c r="E63" s="5" t="n">
        <v>39.1</v>
      </c>
      <c r="F63" s="5" t="n">
        <v>24.4</v>
      </c>
      <c r="G63" s="5" t="n"/>
      <c r="H63" s="5" t="n"/>
    </row>
    <row r="64">
      <c r="A64" s="5" t="inlineStr">
        <is>
          <t>江西|220千伏及以上</t>
        </is>
      </c>
      <c r="B64" s="5" t="inlineStr">
        <is>
          <t>江西</t>
        </is>
      </c>
      <c r="C64" s="5" t="inlineStr">
        <is>
          <t>220千伏及以上</t>
        </is>
      </c>
      <c r="D64" s="5" t="n">
        <v>0.0935</v>
      </c>
      <c r="E64" s="5" t="n">
        <v>37.5</v>
      </c>
      <c r="F64" s="5" t="n">
        <v>23.4</v>
      </c>
      <c r="G64" s="5" t="n"/>
      <c r="H64" s="5" t="n"/>
    </row>
    <row r="65">
      <c r="A65" s="5" t="inlineStr">
        <is>
          <t>山东|1~10(20)千伏</t>
        </is>
      </c>
      <c r="B65" s="5" t="inlineStr">
        <is>
          <t>山东</t>
        </is>
      </c>
      <c r="C65" s="5" t="inlineStr">
        <is>
          <t>1~10(20)千伏</t>
        </is>
      </c>
      <c r="D65" s="5" t="n">
        <v>0.14</v>
      </c>
      <c r="E65" s="5" t="n">
        <v>40</v>
      </c>
      <c r="F65" s="5" t="n">
        <v>25</v>
      </c>
      <c r="G65" s="5" t="n"/>
      <c r="H65" s="5" t="n"/>
    </row>
    <row r="66">
      <c r="A66" s="5" t="inlineStr">
        <is>
          <t>山东|35千伏</t>
        </is>
      </c>
      <c r="B66" s="5" t="inlineStr">
        <is>
          <t>山东</t>
        </is>
      </c>
      <c r="C66" s="5" t="inlineStr">
        <is>
          <t>35千伏</t>
        </is>
      </c>
      <c r="D66" s="5" t="n">
        <v>0.123</v>
      </c>
      <c r="E66" s="5" t="n">
        <v>36</v>
      </c>
      <c r="F66" s="5" t="n">
        <v>22.5</v>
      </c>
      <c r="G66" s="5" t="n"/>
      <c r="H66" s="5" t="n"/>
    </row>
    <row r="67">
      <c r="A67" s="5" t="inlineStr">
        <is>
          <t>山东|110千伏</t>
        </is>
      </c>
      <c r="B67" s="5" t="inlineStr">
        <is>
          <t>山东</t>
        </is>
      </c>
      <c r="C67" s="5" t="inlineStr">
        <is>
          <t>110千伏</t>
        </is>
      </c>
      <c r="D67" s="5" t="n">
        <v>0.106</v>
      </c>
      <c r="E67" s="5" t="n">
        <v>36</v>
      </c>
      <c r="F67" s="5" t="n">
        <v>22.5</v>
      </c>
      <c r="G67" s="5" t="n"/>
      <c r="H67" s="5" t="n"/>
    </row>
    <row r="68">
      <c r="A68" s="5" t="inlineStr">
        <is>
          <t>山东|220千伏及以上</t>
        </is>
      </c>
      <c r="B68" s="5" t="inlineStr">
        <is>
          <t>山东</t>
        </is>
      </c>
      <c r="C68" s="5" t="inlineStr">
        <is>
          <t>220千伏及以上</t>
        </is>
      </c>
      <c r="D68" s="5" t="n">
        <v>0.089</v>
      </c>
      <c r="E68" s="5" t="n">
        <v>32</v>
      </c>
      <c r="F68" s="5" t="n">
        <v>20</v>
      </c>
      <c r="G68" s="5" t="n"/>
      <c r="H68" s="5" t="n"/>
    </row>
    <row r="69">
      <c r="A69" s="5" t="inlineStr">
        <is>
          <t>河南|1~10(20)千伏</t>
        </is>
      </c>
      <c r="B69" s="5" t="inlineStr">
        <is>
          <t>河南</t>
        </is>
      </c>
      <c r="C69" s="5" t="inlineStr">
        <is>
          <t>1~10(20)千伏</t>
        </is>
      </c>
      <c r="D69" s="5" t="n">
        <v>0.1655</v>
      </c>
      <c r="E69" s="5" t="n">
        <v>40</v>
      </c>
      <c r="F69" s="5" t="n">
        <v>25</v>
      </c>
      <c r="G69" s="5" t="n"/>
      <c r="H69" s="5" t="n"/>
    </row>
    <row r="70">
      <c r="A70" s="5" t="inlineStr">
        <is>
          <t>河南|35千伏</t>
        </is>
      </c>
      <c r="B70" s="5" t="inlineStr">
        <is>
          <t>河南</t>
        </is>
      </c>
      <c r="C70" s="5" t="inlineStr">
        <is>
          <t>35千伏</t>
        </is>
      </c>
      <c r="D70" s="5" t="n">
        <v>0.1392</v>
      </c>
      <c r="E70" s="5" t="n">
        <v>36.8</v>
      </c>
      <c r="F70" s="5" t="n">
        <v>23</v>
      </c>
      <c r="G70" s="5" t="n"/>
      <c r="H70" s="5" t="n"/>
    </row>
    <row r="71">
      <c r="A71" s="5" t="inlineStr">
        <is>
          <t>河南|110千伏</t>
        </is>
      </c>
      <c r="B71" s="5" t="inlineStr">
        <is>
          <t>河南</t>
        </is>
      </c>
      <c r="C71" s="5" t="inlineStr">
        <is>
          <t>110千伏</t>
        </is>
      </c>
      <c r="D71" s="5" t="n">
        <v>0.1125</v>
      </c>
      <c r="E71" s="5" t="n">
        <v>33.6</v>
      </c>
      <c r="F71" s="5" t="n">
        <v>21</v>
      </c>
      <c r="G71" s="5" t="n"/>
      <c r="H71" s="5" t="n"/>
    </row>
    <row r="72">
      <c r="A72" s="5" t="inlineStr">
        <is>
          <t>河南|220千伏及以上</t>
        </is>
      </c>
      <c r="B72" s="5" t="inlineStr">
        <is>
          <t>河南</t>
        </is>
      </c>
      <c r="C72" s="5" t="inlineStr">
        <is>
          <t>220千伏及以上</t>
        </is>
      </c>
      <c r="D72" s="5" t="n">
        <v>0.098</v>
      </c>
      <c r="E72" s="5" t="n">
        <v>30.4</v>
      </c>
      <c r="F72" s="5" t="n">
        <v>19</v>
      </c>
      <c r="G72" s="5" t="n"/>
      <c r="H72" s="5" t="n"/>
    </row>
    <row r="73">
      <c r="A73" s="5" t="inlineStr">
        <is>
          <t>湖北|1~10(20)千伏</t>
        </is>
      </c>
      <c r="B73" s="5" t="inlineStr">
        <is>
          <t>湖北</t>
        </is>
      </c>
      <c r="C73" s="5" t="inlineStr">
        <is>
          <t>1~10(20)千伏</t>
        </is>
      </c>
      <c r="D73" s="5" t="n">
        <v>0.1263</v>
      </c>
      <c r="E73" s="5" t="n">
        <v>42</v>
      </c>
      <c r="F73" s="5" t="n">
        <v>26.3</v>
      </c>
      <c r="G73" s="5" t="n"/>
      <c r="H73" s="5" t="n"/>
    </row>
    <row r="74">
      <c r="A74" s="5" t="inlineStr">
        <is>
          <t>湖北|35千伏</t>
        </is>
      </c>
      <c r="B74" s="5" t="inlineStr">
        <is>
          <t>湖北</t>
        </is>
      </c>
      <c r="C74" s="5" t="inlineStr">
        <is>
          <t>35千伏</t>
        </is>
      </c>
      <c r="D74" s="5" t="n">
        <v>0.1065</v>
      </c>
      <c r="E74" s="5" t="n">
        <v>42</v>
      </c>
      <c r="F74" s="5" t="n">
        <v>26.3</v>
      </c>
      <c r="G74" s="5" t="n"/>
      <c r="H74" s="5" t="n"/>
    </row>
    <row r="75">
      <c r="A75" s="5" t="inlineStr">
        <is>
          <t>湖北|110千伏</t>
        </is>
      </c>
      <c r="B75" s="5" t="inlineStr">
        <is>
          <t>湖北</t>
        </is>
      </c>
      <c r="C75" s="5" t="inlineStr">
        <is>
          <t>110千伏</t>
        </is>
      </c>
      <c r="D75" s="5" t="n">
        <v>0.08840000000000001</v>
      </c>
      <c r="E75" s="5" t="n">
        <v>39</v>
      </c>
      <c r="F75" s="5" t="n">
        <v>24.4</v>
      </c>
      <c r="G75" s="5" t="n"/>
      <c r="H75" s="5" t="n"/>
    </row>
    <row r="76">
      <c r="A76" s="5" t="inlineStr">
        <is>
          <t>湖北|220千伏及以上</t>
        </is>
      </c>
      <c r="B76" s="5" t="inlineStr">
        <is>
          <t>湖北</t>
        </is>
      </c>
      <c r="C76" s="5" t="inlineStr">
        <is>
          <t>220千伏及以上</t>
        </is>
      </c>
      <c r="D76" s="5" t="n">
        <v>0.0694</v>
      </c>
      <c r="E76" s="5" t="n">
        <v>39</v>
      </c>
      <c r="F76" s="5" t="n">
        <v>24.4</v>
      </c>
      <c r="G76" s="5" t="n"/>
      <c r="H76" s="5" t="n"/>
    </row>
    <row r="77">
      <c r="A77" s="5" t="inlineStr">
        <is>
          <t>湖南|1~10(20)千伏</t>
        </is>
      </c>
      <c r="B77" s="5" t="inlineStr">
        <is>
          <t>湖南</t>
        </is>
      </c>
      <c r="C77" s="5" t="inlineStr">
        <is>
          <t>1~10(20)千伏</t>
        </is>
      </c>
      <c r="D77" s="5" t="n">
        <v>0.1694</v>
      </c>
      <c r="E77" s="5" t="n">
        <v>35.4</v>
      </c>
      <c r="F77" s="5" t="n">
        <v>22.1</v>
      </c>
      <c r="G77" s="5" t="n"/>
      <c r="H77" s="5" t="n"/>
    </row>
    <row r="78">
      <c r="A78" s="5" t="inlineStr">
        <is>
          <t>湖南|35千伏</t>
        </is>
      </c>
      <c r="B78" s="5" t="inlineStr">
        <is>
          <t>湖南</t>
        </is>
      </c>
      <c r="C78" s="5" t="inlineStr">
        <is>
          <t>35千伏</t>
        </is>
      </c>
      <c r="D78" s="5" t="n">
        <v>0.1394</v>
      </c>
      <c r="E78" s="5" t="n">
        <v>35.4</v>
      </c>
      <c r="F78" s="5" t="n">
        <v>22.1</v>
      </c>
      <c r="G78" s="5" t="n"/>
      <c r="H78" s="5" t="n"/>
    </row>
    <row r="79">
      <c r="A79" s="5" t="inlineStr">
        <is>
          <t>湖南|110千伏</t>
        </is>
      </c>
      <c r="B79" s="5" t="inlineStr">
        <is>
          <t>湖南</t>
        </is>
      </c>
      <c r="C79" s="5" t="inlineStr">
        <is>
          <t>110千伏</t>
        </is>
      </c>
      <c r="D79" s="5" t="n">
        <v>0.1104</v>
      </c>
      <c r="E79" s="5" t="n">
        <v>32.2</v>
      </c>
      <c r="F79" s="5" t="n">
        <v>20.1</v>
      </c>
      <c r="G79" s="5" t="n"/>
      <c r="H79" s="5" t="n"/>
    </row>
    <row r="80">
      <c r="A80" s="5" t="inlineStr">
        <is>
          <t>湖南|220千伏及以上</t>
        </is>
      </c>
      <c r="B80" s="5" t="inlineStr">
        <is>
          <t>湖南</t>
        </is>
      </c>
      <c r="C80" s="5" t="inlineStr">
        <is>
          <t>220千伏及以上</t>
        </is>
      </c>
      <c r="D80" s="5" t="n">
        <v>0.0852</v>
      </c>
      <c r="E80" s="5" t="n">
        <v>32.2</v>
      </c>
      <c r="F80" s="5" t="n">
        <v>20.1</v>
      </c>
      <c r="G80" s="5" t="n"/>
      <c r="H80" s="5" t="n"/>
    </row>
    <row r="81">
      <c r="A81" s="5" t="inlineStr">
        <is>
          <t>广东（不含深圳）|1~10(20)千伏</t>
        </is>
      </c>
      <c r="B81" s="5" t="inlineStr">
        <is>
          <t>广东（不含深圳）</t>
        </is>
      </c>
      <c r="C81" s="5" t="inlineStr">
        <is>
          <t>1~10(20)千伏</t>
        </is>
      </c>
      <c r="D81" s="5" t="n">
        <v>0.0979</v>
      </c>
      <c r="E81" s="5" t="n">
        <v>36.1</v>
      </c>
      <c r="F81" s="5" t="n">
        <v>22.6</v>
      </c>
      <c r="G81" s="5" t="n"/>
      <c r="H81" s="5" t="n"/>
    </row>
    <row r="82">
      <c r="A82" s="5" t="inlineStr">
        <is>
          <t>广东（不含深圳）|35千伏</t>
        </is>
      </c>
      <c r="B82" s="5" t="inlineStr">
        <is>
          <t>广东（不含深圳）</t>
        </is>
      </c>
      <c r="C82" s="5" t="inlineStr">
        <is>
          <t>35千伏</t>
        </is>
      </c>
      <c r="D82" s="5" t="n">
        <v>0.0727</v>
      </c>
      <c r="E82" s="5" t="n">
        <v>31</v>
      </c>
      <c r="F82" s="5" t="n">
        <v>19.4</v>
      </c>
      <c r="G82" s="5" t="n"/>
      <c r="H82" s="5" t="n"/>
    </row>
    <row r="83">
      <c r="A83" s="5" t="inlineStr">
        <is>
          <t>广东（不含深圳）|110千伏</t>
        </is>
      </c>
      <c r="B83" s="5" t="inlineStr">
        <is>
          <t>广东（不含深圳）</t>
        </is>
      </c>
      <c r="C83" s="5" t="inlineStr">
        <is>
          <t>110千伏</t>
        </is>
      </c>
      <c r="D83" s="5" t="n">
        <v>0.0727</v>
      </c>
      <c r="E83" s="5" t="n">
        <v>31</v>
      </c>
      <c r="F83" s="5" t="n">
        <v>19.4</v>
      </c>
      <c r="G83" s="5" t="n"/>
      <c r="H83" s="5" t="n"/>
    </row>
    <row r="84">
      <c r="A84" s="5" t="inlineStr">
        <is>
          <t>广东（不含深圳）|220千伏及以上</t>
        </is>
      </c>
      <c r="B84" s="5" t="inlineStr">
        <is>
          <t>广东（不含深圳）</t>
        </is>
      </c>
      <c r="C84" s="5" t="inlineStr">
        <is>
          <t>220千伏及以上</t>
        </is>
      </c>
      <c r="D84" s="5" t="n">
        <v>0.0449</v>
      </c>
      <c r="E84" s="5" t="n">
        <v>26.1</v>
      </c>
      <c r="F84" s="5" t="n">
        <v>16.3</v>
      </c>
      <c r="G84" s="5" t="n"/>
      <c r="H84" s="5" t="n"/>
    </row>
    <row r="85">
      <c r="A85" s="5" t="inlineStr">
        <is>
          <t>广西|1~10(20)千伏</t>
        </is>
      </c>
      <c r="B85" s="5" t="inlineStr">
        <is>
          <t>广西</t>
        </is>
      </c>
      <c r="C85" s="5" t="inlineStr">
        <is>
          <t>1~10(20)千伏</t>
        </is>
      </c>
      <c r="D85" s="5" t="n">
        <v>0.1476</v>
      </c>
      <c r="E85" s="5" t="n">
        <v>38.7</v>
      </c>
      <c r="F85" s="5" t="n">
        <v>24.2</v>
      </c>
      <c r="G85" s="5" t="n"/>
      <c r="H85" s="5" t="n"/>
    </row>
    <row r="86">
      <c r="A86" s="5" t="inlineStr">
        <is>
          <t>广西|35千伏</t>
        </is>
      </c>
      <c r="B86" s="5" t="inlineStr">
        <is>
          <t>广西</t>
        </is>
      </c>
      <c r="C86" s="5" t="inlineStr">
        <is>
          <t>35千伏</t>
        </is>
      </c>
      <c r="D86" s="5" t="n">
        <v>0.1054</v>
      </c>
      <c r="E86" s="5" t="n">
        <v>37.3</v>
      </c>
      <c r="F86" s="5" t="n">
        <v>23.3</v>
      </c>
      <c r="G86" s="5" t="n"/>
      <c r="H86" s="5" t="n"/>
    </row>
    <row r="87">
      <c r="A87" s="5" t="inlineStr">
        <is>
          <t>广西|110千伏</t>
        </is>
      </c>
      <c r="B87" s="5" t="inlineStr">
        <is>
          <t>广西</t>
        </is>
      </c>
      <c r="C87" s="5" t="inlineStr">
        <is>
          <t>110千伏</t>
        </is>
      </c>
      <c r="D87" s="5" t="n">
        <v>0.07770000000000001</v>
      </c>
      <c r="E87" s="5" t="n">
        <v>34.2</v>
      </c>
      <c r="F87" s="5" t="n">
        <v>21.4</v>
      </c>
      <c r="G87" s="5" t="n"/>
      <c r="H87" s="5" t="n"/>
    </row>
    <row r="88">
      <c r="A88" s="5" t="inlineStr">
        <is>
          <t>广西|220千伏及以上</t>
        </is>
      </c>
      <c r="B88" s="5" t="inlineStr">
        <is>
          <t>广西</t>
        </is>
      </c>
      <c r="C88" s="5" t="inlineStr">
        <is>
          <t>220千伏及以上</t>
        </is>
      </c>
      <c r="D88" s="5" t="n">
        <v>0.0293</v>
      </c>
      <c r="E88" s="5" t="n">
        <v>32</v>
      </c>
      <c r="F88" s="5" t="n">
        <v>20</v>
      </c>
      <c r="G88" s="5" t="n"/>
      <c r="H88" s="5" t="n"/>
    </row>
    <row r="89">
      <c r="A89" s="5" t="inlineStr">
        <is>
          <t>海南|1~10(20)千伏</t>
        </is>
      </c>
      <c r="B89" s="5" t="inlineStr">
        <is>
          <t>海南</t>
        </is>
      </c>
      <c r="C89" s="5" t="inlineStr">
        <is>
          <t>1~10(20)千伏</t>
        </is>
      </c>
      <c r="D89" s="5" t="n">
        <v>0.1348</v>
      </c>
      <c r="E89" s="5" t="n">
        <v>41.6</v>
      </c>
      <c r="F89" s="5" t="n">
        <v>26</v>
      </c>
      <c r="G89" s="5" t="n"/>
      <c r="H89" s="5" t="n"/>
    </row>
    <row r="90">
      <c r="A90" s="5" t="inlineStr">
        <is>
          <t>海南|35千伏</t>
        </is>
      </c>
      <c r="B90" s="5" t="inlineStr">
        <is>
          <t>海南</t>
        </is>
      </c>
      <c r="C90" s="5" t="inlineStr">
        <is>
          <t>35千伏</t>
        </is>
      </c>
      <c r="D90" s="5" t="n">
        <v>0.118</v>
      </c>
      <c r="E90" s="5" t="n">
        <v>38.4</v>
      </c>
      <c r="F90" s="5" t="n">
        <v>24</v>
      </c>
      <c r="G90" s="5" t="n"/>
      <c r="H90" s="5" t="n"/>
    </row>
    <row r="91">
      <c r="A91" s="5" t="inlineStr">
        <is>
          <t>海南|110千伏</t>
        </is>
      </c>
      <c r="B91" s="5" t="inlineStr">
        <is>
          <t>海南</t>
        </is>
      </c>
      <c r="C91" s="5" t="inlineStr">
        <is>
          <t>110千伏</t>
        </is>
      </c>
      <c r="D91" s="5" t="n">
        <v>0.0993</v>
      </c>
      <c r="E91" s="5" t="n">
        <v>35.2</v>
      </c>
      <c r="F91" s="5" t="n">
        <v>22</v>
      </c>
      <c r="G91" s="5" t="n"/>
      <c r="H91" s="5" t="n"/>
    </row>
    <row r="92">
      <c r="A92" s="5" t="inlineStr">
        <is>
          <t>海南|220千伏及以上</t>
        </is>
      </c>
      <c r="B92" s="5" t="inlineStr">
        <is>
          <t>海南</t>
        </is>
      </c>
      <c r="C92" s="5" t="inlineStr">
        <is>
          <t>220千伏及以上</t>
        </is>
      </c>
      <c r="D92" s="5" t="n">
        <v>0.0702</v>
      </c>
      <c r="E92" s="5" t="n">
        <v>32</v>
      </c>
      <c r="F92" s="5" t="n">
        <v>20</v>
      </c>
      <c r="G92" s="5" t="n"/>
      <c r="H92" s="5" t="n"/>
    </row>
    <row r="93">
      <c r="A93" s="5" t="inlineStr">
        <is>
          <t>重庆|1~10(20)千伏</t>
        </is>
      </c>
      <c r="B93" s="5" t="inlineStr">
        <is>
          <t>重庆</t>
        </is>
      </c>
      <c r="C93" s="5" t="inlineStr">
        <is>
          <t>1~10(20)千伏</t>
        </is>
      </c>
      <c r="D93" s="5" t="n">
        <v>0.1515</v>
      </c>
      <c r="E93" s="5" t="n">
        <v>35.2</v>
      </c>
      <c r="F93" s="5" t="n">
        <v>22</v>
      </c>
      <c r="G93" s="5" t="n"/>
      <c r="H93" s="5" t="n"/>
    </row>
    <row r="94">
      <c r="A94" s="5" t="inlineStr">
        <is>
          <t>重庆|35千伏</t>
        </is>
      </c>
      <c r="B94" s="5" t="inlineStr">
        <is>
          <t>重庆</t>
        </is>
      </c>
      <c r="C94" s="5" t="inlineStr">
        <is>
          <t>35千伏</t>
        </is>
      </c>
      <c r="D94" s="5" t="n">
        <v>0.1256</v>
      </c>
      <c r="E94" s="5" t="n">
        <v>35.2</v>
      </c>
      <c r="F94" s="5" t="n">
        <v>22</v>
      </c>
      <c r="G94" s="5" t="n"/>
      <c r="H94" s="5" t="n"/>
    </row>
    <row r="95">
      <c r="A95" s="5" t="inlineStr">
        <is>
          <t>重庆|110千伏</t>
        </is>
      </c>
      <c r="B95" s="5" t="inlineStr">
        <is>
          <t>重庆</t>
        </is>
      </c>
      <c r="C95" s="5" t="inlineStr">
        <is>
          <t>110千伏</t>
        </is>
      </c>
      <c r="D95" s="5" t="n">
        <v>0.1062</v>
      </c>
      <c r="E95" s="5" t="n">
        <v>32</v>
      </c>
      <c r="F95" s="5" t="n">
        <v>20</v>
      </c>
      <c r="G95" s="5" t="n"/>
      <c r="H95" s="5" t="n"/>
    </row>
    <row r="96">
      <c r="A96" s="5" t="inlineStr">
        <is>
          <t>重庆|220千伏及以上</t>
        </is>
      </c>
      <c r="B96" s="5" t="inlineStr">
        <is>
          <t>重庆</t>
        </is>
      </c>
      <c r="C96" s="5" t="inlineStr">
        <is>
          <t>220千伏及以上</t>
        </is>
      </c>
      <c r="D96" s="5" t="n">
        <v>0.0868</v>
      </c>
      <c r="E96" s="5" t="n">
        <v>32</v>
      </c>
      <c r="F96" s="5" t="n">
        <v>20</v>
      </c>
      <c r="G96" s="5" t="n"/>
      <c r="H96" s="5" t="n"/>
    </row>
    <row r="97">
      <c r="A97" s="5" t="inlineStr">
        <is>
          <t>四川|1~10(20)千伏</t>
        </is>
      </c>
      <c r="B97" s="5" t="inlineStr">
        <is>
          <t>四川</t>
        </is>
      </c>
      <c r="C97" s="5" t="inlineStr">
        <is>
          <t>1~10(20)千伏</t>
        </is>
      </c>
      <c r="D97" s="5" t="n">
        <v>0.1391</v>
      </c>
      <c r="E97" s="5" t="n">
        <v>35</v>
      </c>
      <c r="F97" s="5" t="n">
        <v>22</v>
      </c>
      <c r="G97" s="5" t="n"/>
      <c r="H97" s="5" t="n"/>
    </row>
    <row r="98">
      <c r="A98" s="5" t="inlineStr">
        <is>
          <t>四川|35千伏</t>
        </is>
      </c>
      <c r="B98" s="5" t="inlineStr">
        <is>
          <t>四川</t>
        </is>
      </c>
      <c r="C98" s="5" t="inlineStr">
        <is>
          <t>35千伏</t>
        </is>
      </c>
      <c r="D98" s="5" t="n">
        <v>0.1125</v>
      </c>
      <c r="E98" s="5" t="n">
        <v>30</v>
      </c>
      <c r="F98" s="5" t="n">
        <v>19</v>
      </c>
      <c r="G98" s="5" t="n"/>
      <c r="H98" s="5" t="n"/>
    </row>
    <row r="99">
      <c r="A99" s="5" t="inlineStr">
        <is>
          <t>四川|110千伏</t>
        </is>
      </c>
      <c r="B99" s="5" t="inlineStr">
        <is>
          <t>四川</t>
        </is>
      </c>
      <c r="C99" s="5" t="inlineStr">
        <is>
          <t>110千伏</t>
        </is>
      </c>
      <c r="D99" s="5" t="n">
        <v>0.0644</v>
      </c>
      <c r="E99" s="5" t="n">
        <v>27</v>
      </c>
      <c r="F99" s="5" t="n">
        <v>17</v>
      </c>
      <c r="G99" s="5" t="n"/>
      <c r="H99" s="5" t="n"/>
    </row>
    <row r="100">
      <c r="A100" s="5" t="inlineStr">
        <is>
          <t>四川|220千伏及以上</t>
        </is>
      </c>
      <c r="B100" s="5" t="inlineStr">
        <is>
          <t>四川</t>
        </is>
      </c>
      <c r="C100" s="5" t="inlineStr">
        <is>
          <t>220千伏及以上</t>
        </is>
      </c>
      <c r="D100" s="5" t="n">
        <v>0.0466</v>
      </c>
      <c r="E100" s="5" t="n">
        <v>24</v>
      </c>
      <c r="F100" s="5" t="n">
        <v>15</v>
      </c>
      <c r="G100" s="5" t="n"/>
      <c r="H100" s="5" t="n"/>
    </row>
    <row r="101">
      <c r="A101" s="5" t="inlineStr">
        <is>
          <t>贵州|1~10(20)千伏</t>
        </is>
      </c>
      <c r="B101" s="5" t="inlineStr">
        <is>
          <t>贵州</t>
        </is>
      </c>
      <c r="C101" s="5" t="inlineStr">
        <is>
          <t>1~10(20)千伏</t>
        </is>
      </c>
      <c r="D101" s="5" t="n">
        <v>0.1238</v>
      </c>
      <c r="E101" s="5" t="n">
        <v>35</v>
      </c>
      <c r="F101" s="5" t="n">
        <v>21.9</v>
      </c>
      <c r="G101" s="5" t="n"/>
      <c r="H101" s="5" t="n"/>
    </row>
    <row r="102">
      <c r="A102" s="5" t="inlineStr">
        <is>
          <t>贵州|35千伏</t>
        </is>
      </c>
      <c r="B102" s="5" t="inlineStr">
        <is>
          <t>贵州</t>
        </is>
      </c>
      <c r="C102" s="5" t="inlineStr">
        <is>
          <t>35千伏</t>
        </is>
      </c>
      <c r="D102" s="5" t="n">
        <v>0.1097</v>
      </c>
      <c r="E102" s="5" t="n">
        <v>33</v>
      </c>
      <c r="F102" s="5" t="n">
        <v>20.6</v>
      </c>
      <c r="G102" s="5" t="n"/>
      <c r="H102" s="5" t="n"/>
    </row>
    <row r="103">
      <c r="A103" s="5" t="inlineStr">
        <is>
          <t>贵州|110千伏</t>
        </is>
      </c>
      <c r="B103" s="5" t="inlineStr">
        <is>
          <t>贵州</t>
        </is>
      </c>
      <c r="C103" s="5" t="inlineStr">
        <is>
          <t>110千伏</t>
        </is>
      </c>
      <c r="D103" s="5" t="n">
        <v>0.07199999999999999</v>
      </c>
      <c r="E103" s="5" t="n">
        <v>31</v>
      </c>
      <c r="F103" s="5" t="n">
        <v>19.4</v>
      </c>
      <c r="G103" s="5" t="n"/>
      <c r="H103" s="5" t="n"/>
    </row>
    <row r="104">
      <c r="A104" s="5" t="inlineStr">
        <is>
          <t>贵州|220千伏及以上</t>
        </is>
      </c>
      <c r="B104" s="5" t="inlineStr">
        <is>
          <t>贵州</t>
        </is>
      </c>
      <c r="C104" s="5" t="inlineStr">
        <is>
          <t>220千伏及以上</t>
        </is>
      </c>
      <c r="D104" s="5" t="n">
        <v>0.0468</v>
      </c>
      <c r="E104" s="5" t="n">
        <v>30</v>
      </c>
      <c r="F104" s="5" t="n">
        <v>18.8</v>
      </c>
      <c r="G104" s="5" t="n"/>
      <c r="H104" s="5" t="n"/>
    </row>
    <row r="105">
      <c r="A105" s="5" t="inlineStr">
        <is>
          <t>云南|1~10(20)千伏</t>
        </is>
      </c>
      <c r="B105" s="5" t="inlineStr">
        <is>
          <t>云南</t>
        </is>
      </c>
      <c r="C105" s="5" t="inlineStr">
        <is>
          <t>1~10(20)千伏</t>
        </is>
      </c>
      <c r="D105" s="5" t="n">
        <v>0.1246</v>
      </c>
      <c r="E105" s="5" t="n">
        <v>37.6</v>
      </c>
      <c r="F105" s="5" t="n">
        <v>23.5</v>
      </c>
      <c r="G105" s="5" t="n"/>
      <c r="H105" s="5" t="n"/>
    </row>
    <row r="106">
      <c r="A106" s="5" t="inlineStr">
        <is>
          <t>云南|35千伏</t>
        </is>
      </c>
      <c r="B106" s="5" t="inlineStr">
        <is>
          <t>云南</t>
        </is>
      </c>
      <c r="C106" s="5" t="inlineStr">
        <is>
          <t>35千伏</t>
        </is>
      </c>
      <c r="D106" s="5" t="n">
        <v>0.09950000000000001</v>
      </c>
      <c r="E106" s="5" t="n">
        <v>37.6</v>
      </c>
      <c r="F106" s="5" t="n">
        <v>23.5</v>
      </c>
      <c r="G106" s="5" t="n"/>
      <c r="H106" s="5" t="n"/>
    </row>
    <row r="107">
      <c r="A107" s="5" t="inlineStr">
        <is>
          <t>云南|110千伏</t>
        </is>
      </c>
      <c r="B107" s="5" t="inlineStr">
        <is>
          <t>云南</t>
        </is>
      </c>
      <c r="C107" s="5" t="inlineStr">
        <is>
          <t>110千伏</t>
        </is>
      </c>
      <c r="D107" s="5" t="n">
        <v>0.0683</v>
      </c>
      <c r="E107" s="5" t="n">
        <v>36</v>
      </c>
      <c r="F107" s="5" t="n">
        <v>22.5</v>
      </c>
      <c r="G107" s="5" t="n"/>
      <c r="H107" s="5" t="n"/>
    </row>
    <row r="108">
      <c r="A108" s="5" t="inlineStr">
        <is>
          <t>云南|220千伏及以上</t>
        </is>
      </c>
      <c r="B108" s="5" t="inlineStr">
        <is>
          <t>云南</t>
        </is>
      </c>
      <c r="C108" s="5" t="inlineStr">
        <is>
          <t>220千伏及以上</t>
        </is>
      </c>
      <c r="D108" s="5" t="n">
        <v>0.0475</v>
      </c>
      <c r="E108" s="5" t="n">
        <v>36</v>
      </c>
      <c r="F108" s="5" t="n">
        <v>22.5</v>
      </c>
      <c r="G108" s="5" t="n"/>
      <c r="H108" s="5" t="n"/>
    </row>
    <row r="109">
      <c r="A109" s="5" t="inlineStr">
        <is>
          <t>陕西（不含榆林）|1~10(20)千伏</t>
        </is>
      </c>
      <c r="B109" s="5" t="inlineStr">
        <is>
          <t>陕西（不含榆林）</t>
        </is>
      </c>
      <c r="C109" s="5" t="inlineStr">
        <is>
          <t>1~10(20)千伏</t>
        </is>
      </c>
      <c r="D109" s="5" t="n">
        <v>0.1271</v>
      </c>
      <c r="E109" s="5" t="n">
        <v>37.6</v>
      </c>
      <c r="F109" s="5" t="n">
        <v>23.5</v>
      </c>
      <c r="G109" s="5" t="n"/>
      <c r="H109" s="5" t="n"/>
    </row>
    <row r="110">
      <c r="A110" s="5" t="inlineStr">
        <is>
          <t>陕西（不含榆林）|35千伏</t>
        </is>
      </c>
      <c r="B110" s="5" t="inlineStr">
        <is>
          <t>陕西（不含榆林）</t>
        </is>
      </c>
      <c r="C110" s="5" t="inlineStr">
        <is>
          <t>35千伏</t>
        </is>
      </c>
      <c r="D110" s="5" t="n">
        <v>0.1061</v>
      </c>
      <c r="E110" s="5" t="n">
        <v>37.6</v>
      </c>
      <c r="F110" s="5" t="n">
        <v>23.5</v>
      </c>
      <c r="G110" s="5" t="n"/>
      <c r="H110" s="5" t="n"/>
    </row>
    <row r="111">
      <c r="A111" s="5" t="inlineStr">
        <is>
          <t>陕西（不含榆林）|110千伏</t>
        </is>
      </c>
      <c r="B111" s="5" t="inlineStr">
        <is>
          <t>陕西（不含榆林）</t>
        </is>
      </c>
      <c r="C111" s="5" t="inlineStr">
        <is>
          <t>110千伏</t>
        </is>
      </c>
      <c r="D111" s="5" t="n">
        <v>0.0861</v>
      </c>
      <c r="E111" s="5" t="n">
        <v>32.8</v>
      </c>
      <c r="F111" s="5" t="n">
        <v>20.5</v>
      </c>
      <c r="G111" s="5" t="n"/>
      <c r="H111" s="5" t="n"/>
    </row>
    <row r="112">
      <c r="A112" s="5" t="inlineStr">
        <is>
          <t>陕西（不含榆林）|220千伏及以上</t>
        </is>
      </c>
      <c r="B112" s="5" t="inlineStr">
        <is>
          <t>陕西（不含榆林）</t>
        </is>
      </c>
      <c r="C112" s="5" t="inlineStr">
        <is>
          <t>220千伏及以上</t>
        </is>
      </c>
      <c r="D112" s="5" t="n">
        <v>0.0731</v>
      </c>
      <c r="E112" s="5" t="n">
        <v>32.8</v>
      </c>
      <c r="F112" s="5" t="n">
        <v>20.5</v>
      </c>
      <c r="G112" s="5" t="n"/>
      <c r="H112" s="5" t="n"/>
    </row>
    <row r="113">
      <c r="A113" s="5" t="inlineStr">
        <is>
          <t>陕西（榆林地区）|1~10(20)千伏</t>
        </is>
      </c>
      <c r="B113" s="5" t="inlineStr">
        <is>
          <t>陕西（榆林地区）</t>
        </is>
      </c>
      <c r="C113" s="5" t="inlineStr">
        <is>
          <t>1~10(20)千伏</t>
        </is>
      </c>
      <c r="D113" s="5" t="n">
        <v>0.1083</v>
      </c>
      <c r="E113" s="5" t="n">
        <v>37.6</v>
      </c>
      <c r="F113" s="5" t="n">
        <v>23.5</v>
      </c>
      <c r="G113" s="5" t="n"/>
      <c r="H113" s="5" t="n"/>
    </row>
    <row r="114">
      <c r="A114" s="5" t="inlineStr">
        <is>
          <t>陕西（榆林地区）|35千伏</t>
        </is>
      </c>
      <c r="B114" s="5" t="inlineStr">
        <is>
          <t>陕西（榆林地区）</t>
        </is>
      </c>
      <c r="C114" s="5" t="inlineStr">
        <is>
          <t>35千伏</t>
        </is>
      </c>
      <c r="D114" s="5" t="n">
        <v>0.0873</v>
      </c>
      <c r="E114" s="5" t="n">
        <v>37.6</v>
      </c>
      <c r="F114" s="5" t="n">
        <v>23.5</v>
      </c>
      <c r="G114" s="5" t="n"/>
      <c r="H114" s="5" t="n"/>
    </row>
    <row r="115">
      <c r="A115" s="5" t="inlineStr">
        <is>
          <t>陕西（榆林地区）|110千伏</t>
        </is>
      </c>
      <c r="B115" s="5" t="inlineStr">
        <is>
          <t>陕西（榆林地区）</t>
        </is>
      </c>
      <c r="C115" s="5" t="inlineStr">
        <is>
          <t>110千伏</t>
        </is>
      </c>
      <c r="D115" s="5" t="n">
        <v>0.0673</v>
      </c>
      <c r="E115" s="5" t="n">
        <v>32.8</v>
      </c>
      <c r="F115" s="5" t="n">
        <v>20.5</v>
      </c>
      <c r="G115" s="5" t="n"/>
      <c r="H115" s="5" t="n"/>
    </row>
    <row r="116">
      <c r="A116" s="5" t="inlineStr">
        <is>
          <t>陕西（榆林地区）|220千伏及以上</t>
        </is>
      </c>
      <c r="B116" s="5" t="inlineStr">
        <is>
          <t>陕西（榆林地区）</t>
        </is>
      </c>
      <c r="C116" s="5" t="inlineStr">
        <is>
          <t>220千伏及以上</t>
        </is>
      </c>
      <c r="D116" s="5" t="n">
        <v>0.0543</v>
      </c>
      <c r="E116" s="5" t="n">
        <v>32.8</v>
      </c>
      <c r="F116" s="5" t="n">
        <v>20.5</v>
      </c>
      <c r="G116" s="5" t="n"/>
      <c r="H116" s="5" t="n"/>
    </row>
    <row r="117">
      <c r="A117" s="5" t="inlineStr">
        <is>
          <t>甘肃|1~10(20)千伏</t>
        </is>
      </c>
      <c r="B117" s="5" t="inlineStr">
        <is>
          <t>甘肃</t>
        </is>
      </c>
      <c r="C117" s="5" t="inlineStr">
        <is>
          <t>1~10(20)千伏</t>
        </is>
      </c>
      <c r="D117" s="5" t="n">
        <v>0.1063</v>
      </c>
      <c r="E117" s="5" t="n">
        <v>38.4</v>
      </c>
      <c r="F117" s="5" t="n">
        <v>24</v>
      </c>
      <c r="G117" s="5" t="n"/>
      <c r="H117" s="5" t="n"/>
    </row>
    <row r="118">
      <c r="A118" s="5" t="inlineStr">
        <is>
          <t>甘肃|35千伏</t>
        </is>
      </c>
      <c r="B118" s="5" t="inlineStr">
        <is>
          <t>甘肃</t>
        </is>
      </c>
      <c r="C118" s="5" t="inlineStr">
        <is>
          <t>35千伏</t>
        </is>
      </c>
      <c r="D118" s="5" t="n">
        <v>0.09229999999999999</v>
      </c>
      <c r="E118" s="5" t="n">
        <v>36.8</v>
      </c>
      <c r="F118" s="5" t="n">
        <v>23</v>
      </c>
      <c r="G118" s="5" t="n"/>
      <c r="H118" s="5" t="n"/>
    </row>
    <row r="119">
      <c r="A119" s="5" t="inlineStr">
        <is>
          <t>甘肃|110千伏</t>
        </is>
      </c>
      <c r="B119" s="5" t="inlineStr">
        <is>
          <t>甘肃</t>
        </is>
      </c>
      <c r="C119" s="5" t="inlineStr">
        <is>
          <t>110千伏</t>
        </is>
      </c>
      <c r="D119" s="5" t="n">
        <v>0.0799</v>
      </c>
      <c r="E119" s="5" t="n">
        <v>32.8</v>
      </c>
      <c r="F119" s="5" t="n">
        <v>20.5</v>
      </c>
      <c r="G119" s="5" t="n"/>
      <c r="H119" s="5" t="n"/>
    </row>
    <row r="120">
      <c r="A120" s="5" t="inlineStr">
        <is>
          <t>甘肃|220千伏及以上</t>
        </is>
      </c>
      <c r="B120" s="5" t="inlineStr">
        <is>
          <t>甘肃</t>
        </is>
      </c>
      <c r="C120" s="5" t="inlineStr">
        <is>
          <t>220千伏及以上</t>
        </is>
      </c>
      <c r="D120" s="5" t="n">
        <v>0.0693</v>
      </c>
      <c r="E120" s="5" t="n">
        <v>32.8</v>
      </c>
      <c r="F120" s="5" t="n">
        <v>20.5</v>
      </c>
      <c r="G120" s="5" t="n"/>
      <c r="H120" s="5" t="n"/>
    </row>
    <row r="121">
      <c r="A121" s="5" t="inlineStr">
        <is>
          <t>青海|1~10(20)千伏</t>
        </is>
      </c>
      <c r="B121" s="5" t="inlineStr">
        <is>
          <t>青海</t>
        </is>
      </c>
      <c r="C121" s="5" t="inlineStr">
        <is>
          <t>1~10(20)千伏</t>
        </is>
      </c>
      <c r="D121" s="5" t="n">
        <v>0.0871</v>
      </c>
      <c r="E121" s="5" t="n">
        <v>35.2</v>
      </c>
      <c r="F121" s="5" t="n">
        <v>22</v>
      </c>
      <c r="G121" s="5" t="n"/>
      <c r="H121" s="5" t="n"/>
    </row>
    <row r="122">
      <c r="A122" s="5" t="inlineStr">
        <is>
          <t>青海|35千伏</t>
        </is>
      </c>
      <c r="B122" s="5" t="inlineStr">
        <is>
          <t>青海</t>
        </is>
      </c>
      <c r="C122" s="5" t="inlineStr">
        <is>
          <t>35千伏</t>
        </is>
      </c>
      <c r="D122" s="5" t="n">
        <v>0.08110000000000001</v>
      </c>
      <c r="E122" s="5" t="n">
        <v>33.6</v>
      </c>
      <c r="F122" s="5" t="n">
        <v>21</v>
      </c>
      <c r="G122" s="5" t="n"/>
      <c r="H122" s="5" t="n"/>
    </row>
    <row r="123">
      <c r="A123" s="5" t="inlineStr">
        <is>
          <t>青海|110千伏</t>
        </is>
      </c>
      <c r="B123" s="5" t="inlineStr">
        <is>
          <t>青海</t>
        </is>
      </c>
      <c r="C123" s="5" t="inlineStr">
        <is>
          <t>110千伏</t>
        </is>
      </c>
      <c r="D123" s="5" t="n">
        <v>0.0711</v>
      </c>
      <c r="E123" s="5" t="n">
        <v>32.8</v>
      </c>
      <c r="F123" s="5" t="n">
        <v>20.5</v>
      </c>
      <c r="G123" s="5" t="n"/>
      <c r="H123" s="5" t="n"/>
    </row>
    <row r="124">
      <c r="A124" s="5" t="inlineStr">
        <is>
          <t>青海|220千伏及以上</t>
        </is>
      </c>
      <c r="B124" s="5" t="inlineStr">
        <is>
          <t>青海</t>
        </is>
      </c>
      <c r="C124" s="5" t="inlineStr">
        <is>
          <t>220千伏及以上</t>
        </is>
      </c>
      <c r="D124" s="5" t="n">
        <v>0.06</v>
      </c>
      <c r="E124" s="5" t="n">
        <v>31.2</v>
      </c>
      <c r="F124" s="5" t="n">
        <v>19.5</v>
      </c>
      <c r="G124" s="5" t="n"/>
      <c r="H124" s="5" t="n"/>
    </row>
    <row r="125">
      <c r="A125" s="5" t="inlineStr">
        <is>
          <t>宁夏|1~10(20)千伏</t>
        </is>
      </c>
      <c r="B125" s="5" t="inlineStr">
        <is>
          <t>宁夏</t>
        </is>
      </c>
      <c r="C125" s="5" t="inlineStr">
        <is>
          <t>1~10(20)千伏</t>
        </is>
      </c>
      <c r="D125" s="5" t="n">
        <v>0.09030000000000001</v>
      </c>
      <c r="E125" s="5" t="n">
        <v>28.8</v>
      </c>
      <c r="F125" s="5" t="n">
        <v>18</v>
      </c>
      <c r="G125" s="5" t="n"/>
      <c r="H125" s="5" t="n"/>
    </row>
    <row r="126">
      <c r="A126" s="5" t="inlineStr">
        <is>
          <t>宁夏|35千伏</t>
        </is>
      </c>
      <c r="B126" s="5" t="inlineStr">
        <is>
          <t>宁夏</t>
        </is>
      </c>
      <c r="C126" s="5" t="inlineStr">
        <is>
          <t>35千伏</t>
        </is>
      </c>
      <c r="D126" s="5" t="n">
        <v>0.07489999999999999</v>
      </c>
      <c r="E126" s="5" t="n">
        <v>28.8</v>
      </c>
      <c r="F126" s="5" t="n">
        <v>18</v>
      </c>
      <c r="G126" s="5" t="n"/>
      <c r="H126" s="5" t="n"/>
    </row>
    <row r="127">
      <c r="A127" s="5" t="inlineStr">
        <is>
          <t>宁夏|110千伏</t>
        </is>
      </c>
      <c r="B127" s="5" t="inlineStr">
        <is>
          <t>宁夏</t>
        </is>
      </c>
      <c r="C127" s="5" t="inlineStr">
        <is>
          <t>110千伏</t>
        </is>
      </c>
      <c r="D127" s="5" t="n">
        <v>0.0567</v>
      </c>
      <c r="E127" s="5" t="n">
        <v>25.6</v>
      </c>
      <c r="F127" s="5" t="n">
        <v>16</v>
      </c>
      <c r="G127" s="5" t="n"/>
      <c r="H127" s="5" t="n"/>
    </row>
    <row r="128">
      <c r="A128" s="5" t="inlineStr">
        <is>
          <t>宁夏|220千伏及以上</t>
        </is>
      </c>
      <c r="B128" s="5" t="inlineStr">
        <is>
          <t>宁夏</t>
        </is>
      </c>
      <c r="C128" s="5" t="inlineStr">
        <is>
          <t>220千伏及以上</t>
        </is>
      </c>
      <c r="D128" s="5" t="n">
        <v>0.0491</v>
      </c>
      <c r="E128" s="5" t="n">
        <v>25.6</v>
      </c>
      <c r="F128" s="5" t="n">
        <v>16</v>
      </c>
      <c r="G128" s="5" t="n"/>
      <c r="H128" s="5" t="n"/>
    </row>
    <row r="129">
      <c r="A129" s="5" t="inlineStr">
        <is>
          <t>新疆|1~10(20)千伏</t>
        </is>
      </c>
      <c r="B129" s="5" t="inlineStr">
        <is>
          <t>新疆</t>
        </is>
      </c>
      <c r="C129" s="5" t="inlineStr">
        <is>
          <t>1~10(20)千伏</t>
        </is>
      </c>
      <c r="D129" s="5" t="n">
        <v>0.1202</v>
      </c>
      <c r="E129" s="5" t="n">
        <v>32</v>
      </c>
      <c r="F129" s="5" t="n">
        <v>20</v>
      </c>
      <c r="G129" s="5" t="n"/>
      <c r="H129" s="5" t="n"/>
    </row>
    <row r="130">
      <c r="A130" s="5" t="inlineStr">
        <is>
          <t>新疆|35千伏</t>
        </is>
      </c>
      <c r="B130" s="5" t="inlineStr">
        <is>
          <t>新疆</t>
        </is>
      </c>
      <c r="C130" s="5" t="inlineStr">
        <is>
          <t>35千伏</t>
        </is>
      </c>
      <c r="D130" s="5" t="n">
        <v>0.1098</v>
      </c>
      <c r="E130" s="5" t="n">
        <v>32</v>
      </c>
      <c r="F130" s="5" t="n">
        <v>20</v>
      </c>
      <c r="G130" s="5" t="n"/>
      <c r="H130" s="5" t="n"/>
    </row>
    <row r="131">
      <c r="A131" s="5" t="inlineStr">
        <is>
          <t>新疆|110千伏</t>
        </is>
      </c>
      <c r="B131" s="5" t="inlineStr">
        <is>
          <t>新疆</t>
        </is>
      </c>
      <c r="C131" s="5" t="inlineStr">
        <is>
          <t>110千伏</t>
        </is>
      </c>
      <c r="D131" s="5" t="n">
        <v>0.0808</v>
      </c>
      <c r="E131" s="5" t="n">
        <v>30.4</v>
      </c>
      <c r="F131" s="5" t="n">
        <v>19</v>
      </c>
      <c r="G131" s="5" t="n"/>
      <c r="H131" s="5" t="n"/>
    </row>
    <row r="132">
      <c r="A132" s="5" t="inlineStr">
        <is>
          <t>新疆|220千伏及以上</t>
        </is>
      </c>
      <c r="B132" s="5" t="inlineStr">
        <is>
          <t>新疆</t>
        </is>
      </c>
      <c r="C132" s="5" t="inlineStr">
        <is>
          <t>220千伏及以上</t>
        </is>
      </c>
      <c r="D132" s="5" t="n">
        <v>0.0485</v>
      </c>
      <c r="E132" s="5" t="n">
        <v>30.4</v>
      </c>
      <c r="F132" s="5" t="n">
        <v>19</v>
      </c>
      <c r="G132" s="5" t="n"/>
      <c r="H132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F07E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12" customWidth="1" min="4" max="4"/>
    <col width="12" customWidth="1" min="5" max="5"/>
    <col width="9" customWidth="1" min="6" max="6"/>
    <col width="9" customWidth="1" min="7" max="7"/>
    <col width="30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2" customHeight="1">
      <c r="B1" s="23" t="inlineStr">
        <is>
          <t>绿电直连经济测算 v4.0 · 介子九维 JIEZIJIUWEI</t>
        </is>
      </c>
    </row>
    <row r="2" ht="13" customHeight="1">
      <c r="B2" s="24" t="inlineStr">
        <is>
          <t>输入区（黄底蓝字可修改；带出值为预设，填「覆盖值」栏替代；批注含填报说明）</t>
        </is>
      </c>
    </row>
    <row r="3" ht="18" customHeight="1">
      <c r="B3" s="25" t="inlineStr">
        <is>
          <t>参数</t>
        </is>
      </c>
      <c r="C3" s="25" t="inlineStr">
        <is>
          <t>数值</t>
        </is>
      </c>
      <c r="D3" s="25" t="inlineStr">
        <is>
          <t>单位</t>
        </is>
      </c>
      <c r="E3" s="25" t="inlineStr">
        <is>
          <t>覆盖值</t>
        </is>
      </c>
      <c r="H3" s="26" t="inlineStr">
        <is>
          <t>关键指标</t>
        </is>
      </c>
      <c r="I3" s="27" t="n"/>
      <c r="J3" s="27" t="n"/>
    </row>
    <row r="4" ht="18" customHeight="1">
      <c r="B4" s="26" t="inlineStr">
        <is>
          <t>模式开关</t>
        </is>
      </c>
      <c r="C4" s="27" t="n"/>
      <c r="D4" s="27" t="n"/>
      <c r="E4" s="27" t="n"/>
      <c r="H4" s="28" t="inlineStr">
        <is>
          <t>全投资内部收益率（税前）</t>
        </is>
      </c>
      <c r="I4" s="29">
        <f>_zvfwiv</f>
        <v/>
      </c>
      <c r="J4" s="30" t="inlineStr"/>
    </row>
    <row r="5" ht="15.5" customHeight="1">
      <c r="B5" s="31" t="inlineStr">
        <is>
          <t>项目形态</t>
        </is>
      </c>
      <c r="C5" s="32" t="inlineStr">
        <is>
          <t>并网型</t>
        </is>
      </c>
      <c r="D5" s="24" t="inlineStr"/>
      <c r="H5" s="33" t="inlineStr">
        <is>
          <t>全投资内部收益率（税后）</t>
        </is>
      </c>
      <c r="I5" s="34">
        <f>_z3ewnh</f>
        <v/>
      </c>
      <c r="J5" s="35" t="inlineStr">
        <is>
          <t>主评价指标</t>
        </is>
      </c>
    </row>
    <row r="6" ht="15.5" customHeight="1">
      <c r="B6" s="31" t="inlineStr">
        <is>
          <t>输配电费方式</t>
        </is>
      </c>
      <c r="C6" s="32" t="inlineStr">
        <is>
          <t>单一容量制</t>
        </is>
      </c>
      <c r="D6" s="24" t="inlineStr"/>
      <c r="H6" s="33" t="inlineStr">
        <is>
          <t>资本金内部收益率</t>
        </is>
      </c>
      <c r="I6" s="34">
        <f>_z2tbwe</f>
        <v/>
      </c>
      <c r="J6" s="35" t="inlineStr"/>
    </row>
    <row r="7" ht="15.5" customHeight="1">
      <c r="B7" s="31" t="inlineStr">
        <is>
          <t>现行容（需）量电费计费方式</t>
        </is>
      </c>
      <c r="C7" s="32" t="inlineStr">
        <is>
          <t>按容量</t>
        </is>
      </c>
      <c r="D7" s="24" t="inlineStr"/>
      <c r="H7" s="33" t="inlineStr">
        <is>
          <t>净现值（税后全投资）</t>
        </is>
      </c>
      <c r="I7" s="36">
        <f>_z8sr6o</f>
        <v/>
      </c>
      <c r="J7" s="35" t="inlineStr">
        <is>
          <t>万元</t>
        </is>
      </c>
    </row>
    <row r="8" ht="15.5" customHeight="1">
      <c r="B8" s="31" t="inlineStr">
        <is>
          <t>基金计费口径</t>
        </is>
      </c>
      <c r="C8" s="32" t="inlineStr">
        <is>
          <t>下网+自用</t>
        </is>
      </c>
      <c r="D8" s="24" t="inlineStr"/>
      <c r="H8" s="33" t="inlineStr">
        <is>
          <t>静态回收期</t>
        </is>
      </c>
      <c r="I8" s="37">
        <f>_z3lcbu</f>
        <v/>
      </c>
      <c r="J8" s="35" t="inlineStr">
        <is>
          <t>年</t>
        </is>
      </c>
    </row>
    <row r="9" ht="15.5" customHeight="1">
      <c r="B9" s="31" t="inlineStr">
        <is>
          <t>所得税三免三减半</t>
        </is>
      </c>
      <c r="C9" s="32" t="inlineStr">
        <is>
          <t>否</t>
        </is>
      </c>
      <c r="D9" s="24" t="inlineStr"/>
      <c r="H9" s="33" t="inlineStr">
        <is>
          <t>动态回收期</t>
        </is>
      </c>
      <c r="I9" s="37">
        <f>_z4kqsx</f>
        <v/>
      </c>
      <c r="J9" s="35" t="inlineStr">
        <is>
          <t>年</t>
        </is>
      </c>
    </row>
    <row r="10" ht="15.5" customHeight="1">
      <c r="H10" s="33" t="inlineStr">
        <is>
          <t>度电成本 LCOE</t>
        </is>
      </c>
      <c r="I10" s="38">
        <f>_zehl1m</f>
        <v/>
      </c>
      <c r="J10" s="35" t="inlineStr">
        <is>
          <t>元/kWh</t>
        </is>
      </c>
    </row>
    <row r="11" ht="18" customHeight="1">
      <c r="B11" s="26" t="inlineStr">
        <is>
          <t>价区与输配电价</t>
        </is>
      </c>
      <c r="C11" s="27" t="n"/>
      <c r="D11" s="27" t="n"/>
      <c r="E11" s="27" t="n"/>
      <c r="H11" s="33" t="inlineStr">
        <is>
          <t>综合到户电价</t>
        </is>
      </c>
      <c r="I11" s="38">
        <f>_z3179u</f>
        <v/>
      </c>
      <c r="J11" s="35" t="inlineStr">
        <is>
          <t>元/kWh</t>
        </is>
      </c>
    </row>
    <row r="12" ht="15.5" customHeight="1">
      <c r="B12" s="31" t="inlineStr">
        <is>
          <t>价区</t>
        </is>
      </c>
      <c r="C12" s="32" t="inlineStr">
        <is>
          <t>山东</t>
        </is>
      </c>
      <c r="D12" s="24" t="inlineStr"/>
      <c r="H12" s="33" t="inlineStr">
        <is>
          <t>年节省额（对照电网购电）</t>
        </is>
      </c>
      <c r="I12" s="36">
        <f>_zmorcm</f>
        <v/>
      </c>
      <c r="J12" s="35" t="inlineStr">
        <is>
          <t>万元</t>
        </is>
      </c>
    </row>
    <row r="13" ht="15.5" customHeight="1">
      <c r="B13" s="31" t="inlineStr">
        <is>
          <t>接入电压等级</t>
        </is>
      </c>
      <c r="C13" s="32" t="inlineStr">
        <is>
          <t>110千伏</t>
        </is>
      </c>
      <c r="D13" s="24" t="inlineStr"/>
      <c r="H13" s="33" t="inlineStr">
        <is>
          <t>节省率</t>
        </is>
      </c>
      <c r="I13" s="39">
        <f>_zhg1yd</f>
        <v/>
      </c>
      <c r="J13" s="35" t="inlineStr"/>
    </row>
    <row r="14" ht="15.5" customHeight="1">
      <c r="B14" s="31" t="inlineStr">
        <is>
          <t>输配电度电价</t>
        </is>
      </c>
      <c r="C14" s="40">
        <f>IF(ISNUMBER($E$14),$E$14,IFERROR(INDEX(_zixjw6,MATCH(_zghnzo&amp;"|"&amp;_z82y2b,_zk618t,0)),0))</f>
        <v/>
      </c>
      <c r="D14" s="24" t="inlineStr">
        <is>
          <t>元/kWh</t>
        </is>
      </c>
      <c r="E14" s="41" t="n"/>
      <c r="H14" s="42" t="inlineStr">
        <is>
          <t>绿证/CBAM规避价值（单列）</t>
        </is>
      </c>
      <c r="I14" s="43">
        <f>_zc82pq</f>
        <v/>
      </c>
      <c r="J14" s="44" t="inlineStr">
        <is>
          <t>万元</t>
        </is>
      </c>
    </row>
    <row r="15" ht="15.5" customHeight="1">
      <c r="B15" s="31" t="inlineStr">
        <is>
          <t>需量电价</t>
        </is>
      </c>
      <c r="C15" s="40">
        <f>IF(ISNUMBER($E$15),$E$15,IFERROR(INDEX(_zwjvbx,MATCH(_zghnzo&amp;"|"&amp;_z82y2b,_zk618t,0)),0))</f>
        <v/>
      </c>
      <c r="D15" s="24" t="inlineStr">
        <is>
          <t>元/kW·月</t>
        </is>
      </c>
      <c r="E15" s="41" t="n"/>
    </row>
    <row r="16" ht="18" customHeight="1">
      <c r="B16" s="31" t="inlineStr">
        <is>
          <t>容量电价</t>
        </is>
      </c>
      <c r="C16" s="40">
        <f>IF(ISNUMBER($E$16),$E$16,IFERROR(INDEX(_zf8jb3,MATCH(_zghnzo&amp;"|"&amp;_z82y2b,_zk618t,0)),0))</f>
        <v/>
      </c>
      <c r="D16" s="24" t="inlineStr">
        <is>
          <t>元/kVA·月</t>
        </is>
      </c>
      <c r="E16" s="41" t="n"/>
      <c r="H16" s="26" t="inlineStr">
        <is>
          <t>合规判定（绿电直连准入红线）</t>
        </is>
      </c>
      <c r="I16" s="27" t="n"/>
      <c r="J16" s="27" t="n"/>
    </row>
    <row r="17" ht="15.5" customHeight="1">
      <c r="B17" s="45">
        <f>IF(ISNA(MATCH(_zghnzo&amp;"|"&amp;_z82y2b,_zk618t,0)),"所选价区无此电压档，请改选电压等级或填写覆盖值","")</f>
        <v/>
      </c>
      <c r="H17" s="31" t="inlineStr">
        <is>
          <t>自发自用/可用发电量 ≥60%</t>
        </is>
      </c>
      <c r="I17" s="46">
        <f>_zkt2jm</f>
        <v/>
      </c>
      <c r="J17" s="47">
        <f>IF(_zkt2jm&gt;=0.6,"通过","不满足")</f>
        <v/>
      </c>
    </row>
    <row r="18" ht="15.5" customHeight="1">
      <c r="H18" s="31" t="inlineStr">
        <is>
          <t>自发自用/年用电量 ≥30%</t>
        </is>
      </c>
      <c r="I18" s="46">
        <f>_zy8wik</f>
        <v/>
      </c>
      <c r="J18" s="47">
        <f>IF(_zy8wik&gt;=0.3,"通过","不满足")</f>
        <v/>
      </c>
    </row>
    <row r="19" ht="18" customHeight="1">
      <c r="B19" s="26" t="inlineStr">
        <is>
          <t>A 项目基础</t>
        </is>
      </c>
      <c r="C19" s="27" t="n"/>
      <c r="D19" s="27" t="n"/>
      <c r="E19" s="27" t="n"/>
      <c r="H19" s="31" t="inlineStr">
        <is>
          <t>上网电量/可用发电量 ≤20%</t>
        </is>
      </c>
      <c r="I19" s="46">
        <f>_zl0ecr</f>
        <v/>
      </c>
      <c r="J19" s="47">
        <f>IF((_zkrpcw="离网型"),"通过（离网不适用）",IF(_zl0ecr&lt;=0.2,"通过","不满足"))</f>
        <v/>
      </c>
    </row>
    <row r="20" ht="15.5" customHeight="1">
      <c r="B20" s="31" t="inlineStr">
        <is>
          <t>光伏装机</t>
        </is>
      </c>
      <c r="C20" s="48" t="n">
        <v>100</v>
      </c>
      <c r="D20" s="24" t="inlineStr">
        <is>
          <t>MW</t>
        </is>
      </c>
    </row>
    <row r="21" ht="18" customHeight="1">
      <c r="B21" s="31" t="inlineStr">
        <is>
          <t>光伏年利用小时</t>
        </is>
      </c>
      <c r="C21" s="48" t="n">
        <v>1100</v>
      </c>
      <c r="D21" s="24" t="inlineStr">
        <is>
          <t>h</t>
        </is>
      </c>
      <c r="H21" s="26" t="inlineStr">
        <is>
          <t>投资与费用构成</t>
        </is>
      </c>
      <c r="I21" s="27" t="n"/>
      <c r="J21" s="27" t="n"/>
    </row>
    <row r="22" ht="15.5" customHeight="1">
      <c r="B22" s="31" t="inlineStr">
        <is>
          <t>风电装机</t>
        </is>
      </c>
      <c r="C22" s="48" t="n">
        <v>0</v>
      </c>
      <c r="D22" s="24" t="inlineStr">
        <is>
          <t>MW</t>
        </is>
      </c>
      <c r="H22" s="31" t="inlineStr">
        <is>
          <t>光伏投资</t>
        </is>
      </c>
      <c r="I22" s="49">
        <f>_zkh06o</f>
        <v/>
      </c>
      <c r="J22" s="24" t="inlineStr">
        <is>
          <t>万元</t>
        </is>
      </c>
    </row>
    <row r="23" ht="15.5" customHeight="1">
      <c r="B23" s="31" t="inlineStr">
        <is>
          <t>风电年利用小时</t>
        </is>
      </c>
      <c r="C23" s="48" t="n">
        <v>0</v>
      </c>
      <c r="D23" s="24" t="inlineStr">
        <is>
          <t>h</t>
        </is>
      </c>
      <c r="H23" s="31" t="inlineStr">
        <is>
          <t>风电投资</t>
        </is>
      </c>
      <c r="I23" s="49">
        <f>_z517d3</f>
        <v/>
      </c>
      <c r="J23" s="24" t="inlineStr">
        <is>
          <t>万元</t>
        </is>
      </c>
    </row>
    <row r="24" ht="15.5" customHeight="1">
      <c r="B24" s="31" t="inlineStr">
        <is>
          <t>储能功率</t>
        </is>
      </c>
      <c r="C24" s="48" t="n">
        <v>20</v>
      </c>
      <c r="D24" s="24" t="inlineStr">
        <is>
          <t>MW</t>
        </is>
      </c>
      <c r="H24" s="31" t="inlineStr">
        <is>
          <t>储能投资</t>
        </is>
      </c>
      <c r="I24" s="49">
        <f>_z67r2o</f>
        <v/>
      </c>
      <c r="J24" s="24" t="inlineStr">
        <is>
          <t>万元</t>
        </is>
      </c>
    </row>
    <row r="25" ht="15.5" customHeight="1">
      <c r="B25" s="31" t="inlineStr">
        <is>
          <t>储能容量</t>
        </is>
      </c>
      <c r="C25" s="48" t="n">
        <v>40</v>
      </c>
      <c r="D25" s="24" t="inlineStr">
        <is>
          <t>MWh</t>
        </is>
      </c>
      <c r="H25" s="31" t="inlineStr">
        <is>
          <t>专线及升压投资</t>
        </is>
      </c>
      <c r="I25" s="49">
        <f>_zbf04s</f>
        <v/>
      </c>
      <c r="J25" s="24" t="inlineStr">
        <is>
          <t>万元</t>
        </is>
      </c>
    </row>
    <row r="26" ht="15.5" customHeight="1">
      <c r="B26" s="31" t="inlineStr">
        <is>
          <t>接入公网容量（自主申报）</t>
        </is>
      </c>
      <c r="C26" s="48" t="n">
        <v>25000</v>
      </c>
      <c r="D26" s="24" t="inlineStr">
        <is>
          <t>kVA</t>
        </is>
      </c>
      <c r="H26" s="31" t="inlineStr">
        <is>
          <t>土地取得费</t>
        </is>
      </c>
      <c r="I26" s="49">
        <f>_z5sfpo</f>
        <v/>
      </c>
      <c r="J26" s="24" t="inlineStr">
        <is>
          <t>万元</t>
        </is>
      </c>
    </row>
    <row r="27" ht="15.5" customHeight="1">
      <c r="B27" s="31" t="inlineStr">
        <is>
          <t>申报（合同）最大需量</t>
        </is>
      </c>
      <c r="C27" s="48" t="n">
        <v>20000</v>
      </c>
      <c r="D27" s="24" t="inlineStr">
        <is>
          <t>kW</t>
        </is>
      </c>
      <c r="H27" s="31" t="inlineStr">
        <is>
          <t>建设投资（不含建设期利息）</t>
        </is>
      </c>
      <c r="I27" s="49">
        <f>_z1tt59</f>
        <v/>
      </c>
      <c r="J27" s="24" t="inlineStr">
        <is>
          <t>万元</t>
        </is>
      </c>
    </row>
    <row r="28" ht="15.5" customHeight="1">
      <c r="H28" s="31" t="inlineStr">
        <is>
          <t>建设期利息</t>
        </is>
      </c>
      <c r="I28" s="49">
        <f>_zhc22k</f>
        <v/>
      </c>
      <c r="J28" s="24" t="inlineStr">
        <is>
          <t>万元</t>
        </is>
      </c>
    </row>
    <row r="29" ht="18" customHeight="1">
      <c r="B29" s="26" t="inlineStr">
        <is>
          <t>B 电量</t>
        </is>
      </c>
      <c r="C29" s="27" t="n"/>
      <c r="D29" s="27" t="n"/>
      <c r="E29" s="27" t="n"/>
      <c r="H29" s="31" t="inlineStr">
        <is>
          <t>项目总投资（含建设期利息）</t>
        </is>
      </c>
      <c r="I29" s="49">
        <f>_z32w4e</f>
        <v/>
      </c>
      <c r="J29" s="24" t="inlineStr">
        <is>
          <t>万元</t>
        </is>
      </c>
    </row>
    <row r="30" ht="15.5" customHeight="1">
      <c r="B30" s="31" t="inlineStr">
        <is>
          <t>用户年用电量</t>
        </is>
      </c>
      <c r="C30" s="48" t="n">
        <v>12000</v>
      </c>
      <c r="D30" s="24" t="inlineStr">
        <is>
          <t>万kWh</t>
        </is>
      </c>
      <c r="H30" s="31" t="inlineStr">
        <is>
          <t>资本金</t>
        </is>
      </c>
      <c r="I30" s="49">
        <f>_zn0hoh</f>
        <v/>
      </c>
      <c r="J30" s="24" t="inlineStr">
        <is>
          <t>万元</t>
        </is>
      </c>
    </row>
    <row r="31" ht="15.5" customHeight="1">
      <c r="B31" s="31" t="inlineStr">
        <is>
          <t>年自发自用电量</t>
        </is>
      </c>
      <c r="C31" s="48" t="n">
        <v>9000</v>
      </c>
      <c r="D31" s="24" t="inlineStr">
        <is>
          <t>万kWh</t>
        </is>
      </c>
      <c r="H31" s="31" t="inlineStr">
        <is>
          <t>贷款</t>
        </is>
      </c>
      <c r="I31" s="49">
        <f>_zmqr32</f>
        <v/>
      </c>
      <c r="J31" s="24" t="inlineStr">
        <is>
          <t>万元</t>
        </is>
      </c>
    </row>
    <row r="32" ht="15.5" customHeight="1">
      <c r="B32" s="31" t="inlineStr">
        <is>
          <t>弃电率</t>
        </is>
      </c>
      <c r="C32" s="50" t="n">
        <v>0.02</v>
      </c>
      <c r="D32" s="24" t="inlineStr">
        <is>
          <t>%</t>
        </is>
      </c>
      <c r="H32" s="31" t="inlineStr">
        <is>
          <t>现行容量电费</t>
        </is>
      </c>
      <c r="I32" s="49">
        <f>_zektcz</f>
        <v/>
      </c>
      <c r="J32" s="24" t="inlineStr">
        <is>
          <t>万元</t>
        </is>
      </c>
    </row>
    <row r="33" ht="15.5" customHeight="1">
      <c r="B33" s="31" t="inlineStr">
        <is>
          <t>年出力衰减率</t>
        </is>
      </c>
      <c r="C33" s="50" t="n">
        <v>0.005</v>
      </c>
      <c r="D33" s="24" t="inlineStr">
        <is>
          <t>%</t>
        </is>
      </c>
      <c r="H33" s="31" t="inlineStr">
        <is>
          <t>输配电量折算费</t>
        </is>
      </c>
      <c r="I33" s="49">
        <f>_zdmffp</f>
        <v/>
      </c>
      <c r="J33" s="24" t="inlineStr">
        <is>
          <t>万元</t>
        </is>
      </c>
    </row>
    <row r="34" ht="15.5" customHeight="1">
      <c r="H34" s="31" t="inlineStr">
        <is>
          <t>年系统运行费</t>
        </is>
      </c>
      <c r="I34" s="49">
        <f>_zqnyts</f>
        <v/>
      </c>
      <c r="J34" s="24" t="inlineStr">
        <is>
          <t>万元</t>
        </is>
      </c>
    </row>
    <row r="35" ht="18" customHeight="1">
      <c r="B35" s="26" t="inlineStr">
        <is>
          <t>C 电价与费用</t>
        </is>
      </c>
      <c r="C35" s="27" t="n"/>
      <c r="D35" s="27" t="n"/>
      <c r="E35" s="27" t="n"/>
      <c r="H35" s="31" t="inlineStr">
        <is>
          <t>年上网环节线损费</t>
        </is>
      </c>
      <c r="I35" s="49">
        <f>_z9r4dl</f>
        <v/>
      </c>
      <c r="J35" s="24" t="inlineStr">
        <is>
          <t>万元</t>
        </is>
      </c>
    </row>
    <row r="36" ht="15.5" customHeight="1">
      <c r="B36" s="31" t="inlineStr">
        <is>
          <t>直供电价（协商）</t>
        </is>
      </c>
      <c r="C36" s="48" t="n">
        <v>0.35</v>
      </c>
      <c r="D36" s="24" t="inlineStr">
        <is>
          <t>元/kWh</t>
        </is>
      </c>
      <c r="H36" s="31" t="inlineStr">
        <is>
          <t>年交叉补贴</t>
        </is>
      </c>
      <c r="I36" s="49">
        <f>_ze6p1m</f>
        <v/>
      </c>
      <c r="J36" s="24" t="inlineStr">
        <is>
          <t>万元</t>
        </is>
      </c>
    </row>
    <row r="37" ht="15.5" customHeight="1">
      <c r="B37" s="31" t="inlineStr">
        <is>
          <t>下网市场购电价</t>
        </is>
      </c>
      <c r="C37" s="48" t="n">
        <v>0.55</v>
      </c>
      <c r="D37" s="24" t="inlineStr">
        <is>
          <t>元/kWh</t>
        </is>
      </c>
      <c r="H37" s="31" t="inlineStr">
        <is>
          <t>年政府性基金及附加</t>
        </is>
      </c>
      <c r="I37" s="49">
        <f>_zpzqxb</f>
        <v/>
      </c>
      <c r="J37" s="24" t="inlineStr">
        <is>
          <t>万元</t>
        </is>
      </c>
    </row>
    <row r="38" ht="15.5" customHeight="1">
      <c r="B38" s="31" t="inlineStr">
        <is>
          <t>电网购电对比到户价</t>
        </is>
      </c>
      <c r="C38" s="48" t="n">
        <v>0.62</v>
      </c>
      <c r="D38" s="24" t="inlineStr">
        <is>
          <t>元/kWh</t>
        </is>
      </c>
      <c r="H38" s="31" t="inlineStr">
        <is>
          <t>年直供电费</t>
        </is>
      </c>
      <c r="I38" s="49">
        <f>_zqhyli</f>
        <v/>
      </c>
      <c r="J38" s="24" t="inlineStr">
        <is>
          <t>万元</t>
        </is>
      </c>
    </row>
    <row r="39" ht="15.5" customHeight="1">
      <c r="B39" s="31" t="inlineStr">
        <is>
          <t>上网结算均价</t>
        </is>
      </c>
      <c r="C39" s="48" t="n">
        <v>0.2</v>
      </c>
      <c r="D39" s="24" t="inlineStr">
        <is>
          <t>元/kWh</t>
        </is>
      </c>
      <c r="H39" s="31" t="inlineStr">
        <is>
          <t>年市场购电费</t>
        </is>
      </c>
      <c r="I39" s="49">
        <f>_za7fy7</f>
        <v/>
      </c>
      <c r="J39" s="24" t="inlineStr">
        <is>
          <t>万元</t>
        </is>
      </c>
    </row>
    <row r="40" ht="15.5" customHeight="1">
      <c r="B40" s="31" t="inlineStr">
        <is>
          <t>平均负荷率</t>
        </is>
      </c>
      <c r="C40" s="50" t="n">
        <v>0.55</v>
      </c>
      <c r="D40" s="24" t="inlineStr">
        <is>
          <t>%</t>
        </is>
      </c>
      <c r="H40" s="31" t="inlineStr">
        <is>
          <t>年综合用电成本</t>
        </is>
      </c>
      <c r="I40" s="49">
        <f>_zvy62p</f>
        <v/>
      </c>
      <c r="J40" s="24" t="inlineStr">
        <is>
          <t>万元</t>
        </is>
      </c>
    </row>
    <row r="41" ht="15.5" customHeight="1">
      <c r="B41" s="31" t="inlineStr">
        <is>
          <t>系统运行费单价</t>
        </is>
      </c>
      <c r="C41" s="48" t="n">
        <v>0.0209</v>
      </c>
      <c r="D41" s="24" t="inlineStr">
        <is>
          <t>元/kWh</t>
        </is>
      </c>
      <c r="H41" s="31" t="inlineStr">
        <is>
          <t>电网购电对照成本</t>
        </is>
      </c>
      <c r="I41" s="49">
        <f>_zfzfsr</f>
        <v/>
      </c>
      <c r="J41" s="24" t="inlineStr">
        <is>
          <t>万元</t>
        </is>
      </c>
    </row>
    <row r="42" ht="15.5" customHeight="1">
      <c r="B42" s="31" t="inlineStr">
        <is>
          <t>上网环节线损费用单价</t>
        </is>
      </c>
      <c r="C42" s="48" t="n">
        <v>0.01</v>
      </c>
      <c r="D42" s="24" t="inlineStr">
        <is>
          <t>元/kWh</t>
        </is>
      </c>
    </row>
    <row r="43" ht="18" customHeight="1">
      <c r="B43" s="31" t="inlineStr">
        <is>
          <t>政府性基金及附加单价</t>
        </is>
      </c>
      <c r="C43" s="48" t="n">
        <v>0.02717</v>
      </c>
      <c r="D43" s="24" t="inlineStr">
        <is>
          <t>元/kWh</t>
        </is>
      </c>
      <c r="H43" s="26" t="inlineStr">
        <is>
          <t>综合到户电价对比（元/kWh）</t>
        </is>
      </c>
      <c r="I43" s="27" t="n"/>
      <c r="J43" s="27" t="n"/>
    </row>
    <row r="44" ht="15.5" customHeight="1">
      <c r="B44" s="31" t="inlineStr">
        <is>
          <t>交叉补贴单价（已并入系统运行费的省份填0）</t>
        </is>
      </c>
      <c r="C44" s="48" t="n">
        <v>0</v>
      </c>
      <c r="D44" s="24" t="inlineStr">
        <is>
          <t>元/kWh</t>
        </is>
      </c>
      <c r="H44" s="31" t="inlineStr">
        <is>
          <t>绿电直连综合到户电价</t>
        </is>
      </c>
      <c r="I44" s="40">
        <f>_z3179u</f>
        <v/>
      </c>
      <c r="J44" s="24" t="inlineStr">
        <is>
          <t>元/kWh</t>
        </is>
      </c>
    </row>
    <row r="45" ht="15.5" customHeight="1">
      <c r="B45" s="31" t="inlineStr">
        <is>
          <t>绿证/CBAM折算单价（单列）</t>
        </is>
      </c>
      <c r="C45" s="48" t="n">
        <v>0.005</v>
      </c>
      <c r="D45" s="24" t="inlineStr">
        <is>
          <t>元/kWh</t>
        </is>
      </c>
      <c r="H45" s="31" t="inlineStr">
        <is>
          <t>电网购电对比到户价</t>
        </is>
      </c>
      <c r="I45" s="40">
        <f>_zf2rqb</f>
        <v/>
      </c>
      <c r="J45" s="24" t="inlineStr">
        <is>
          <t>元/kWh</t>
        </is>
      </c>
    </row>
    <row r="46" ht="15.5" customHeight="1"/>
    <row r="47" ht="18" customHeight="1">
      <c r="B47" s="26" t="inlineStr">
        <is>
          <t>D 投资与财务</t>
        </is>
      </c>
      <c r="C47" s="27" t="n"/>
      <c r="D47" s="27" t="n"/>
      <c r="E47" s="27" t="n"/>
    </row>
    <row r="48" ht="15.5" customHeight="1">
      <c r="B48" s="31" t="inlineStr">
        <is>
          <t>光伏单位投资</t>
        </is>
      </c>
      <c r="C48" s="48" t="n">
        <v>3</v>
      </c>
      <c r="D48" s="24" t="inlineStr">
        <is>
          <t>元/W</t>
        </is>
      </c>
    </row>
    <row r="49" ht="15.5" customHeight="1">
      <c r="B49" s="31" t="inlineStr">
        <is>
          <t>风电单位投资</t>
        </is>
      </c>
      <c r="C49" s="48" t="n">
        <v>4.5</v>
      </c>
      <c r="D49" s="24" t="inlineStr">
        <is>
          <t>元/W</t>
        </is>
      </c>
    </row>
    <row r="50" ht="15.5" customHeight="1">
      <c r="B50" s="31" t="inlineStr">
        <is>
          <t>储能单位投资</t>
        </is>
      </c>
      <c r="C50" s="48" t="n">
        <v>1</v>
      </c>
      <c r="D50" s="24" t="inlineStr">
        <is>
          <t>元/Wh</t>
        </is>
      </c>
    </row>
    <row r="51" ht="15.5" customHeight="1">
      <c r="B51" s="31" t="inlineStr">
        <is>
          <t>专线及升压投资</t>
        </is>
      </c>
      <c r="C51" s="48" t="n">
        <v>6000</v>
      </c>
      <c r="D51" s="24" t="inlineStr">
        <is>
          <t>万元</t>
        </is>
      </c>
    </row>
    <row r="52" ht="15.5" customHeight="1">
      <c r="B52" s="31" t="inlineStr">
        <is>
          <t>资本金比例</t>
        </is>
      </c>
      <c r="C52" s="50" t="n">
        <v>0.3</v>
      </c>
      <c r="D52" s="24" t="inlineStr">
        <is>
          <t>%</t>
        </is>
      </c>
    </row>
    <row r="53" ht="15.5" customHeight="1">
      <c r="B53" s="31" t="inlineStr">
        <is>
          <t>贷款利率</t>
        </is>
      </c>
      <c r="C53" s="50" t="n">
        <v>0.045</v>
      </c>
      <c r="D53" s="24" t="inlineStr">
        <is>
          <t>%</t>
        </is>
      </c>
    </row>
    <row r="54" ht="15.5" customHeight="1">
      <c r="B54" s="31" t="inlineStr">
        <is>
          <t>贷款年限</t>
        </is>
      </c>
      <c r="C54" s="41" t="n">
        <v>15</v>
      </c>
      <c r="D54" s="24" t="inlineStr">
        <is>
          <t>年</t>
        </is>
      </c>
    </row>
    <row r="55" ht="15.5" customHeight="1">
      <c r="B55" s="31" t="inlineStr">
        <is>
          <t>运营期</t>
        </is>
      </c>
      <c r="C55" s="41" t="n">
        <v>25</v>
      </c>
      <c r="D55" s="24" t="inlineStr">
        <is>
          <t>年</t>
        </is>
      </c>
    </row>
    <row r="56" ht="15.5" customHeight="1">
      <c r="B56" s="31" t="inlineStr">
        <is>
          <t>运维费率</t>
        </is>
      </c>
      <c r="C56" s="50" t="n">
        <v>0.012</v>
      </c>
      <c r="D56" s="24" t="inlineStr">
        <is>
          <t>%</t>
        </is>
      </c>
    </row>
    <row r="57" ht="15.5" customHeight="1">
      <c r="B57" s="31" t="inlineStr">
        <is>
          <t>保险费率</t>
        </is>
      </c>
      <c r="C57" s="50" t="n">
        <v>0.0025</v>
      </c>
      <c r="D57" s="24" t="inlineStr">
        <is>
          <t>%</t>
        </is>
      </c>
    </row>
    <row r="58" ht="15.5" customHeight="1">
      <c r="B58" s="31" t="inlineStr">
        <is>
          <t>土地/场地租金（不含税）</t>
        </is>
      </c>
      <c r="C58" s="48" t="n">
        <v>0</v>
      </c>
      <c r="D58" s="24" t="inlineStr">
        <is>
          <t>万元/年</t>
        </is>
      </c>
    </row>
    <row r="59" ht="15.5" customHeight="1">
      <c r="B59" s="31" t="inlineStr">
        <is>
          <t>土地取得费</t>
        </is>
      </c>
      <c r="C59" s="48" t="n">
        <v>0</v>
      </c>
      <c r="D59" s="24" t="inlineStr">
        <is>
          <t>万元</t>
        </is>
      </c>
    </row>
    <row r="60" ht="15.5" customHeight="1">
      <c r="B60" s="31" t="inlineStr">
        <is>
          <t>土地使用权税前摊销年限</t>
        </is>
      </c>
      <c r="C60" s="41" t="n">
        <v>0</v>
      </c>
      <c r="D60" s="24" t="inlineStr">
        <is>
          <t>年</t>
        </is>
      </c>
    </row>
    <row r="61" ht="15.5" customHeight="1">
      <c r="B61" s="31" t="inlineStr">
        <is>
          <t>土地可抵扣进项税额</t>
        </is>
      </c>
      <c r="C61" s="48" t="n">
        <v>0</v>
      </c>
      <c r="D61" s="24" t="inlineStr">
        <is>
          <t>万元</t>
        </is>
      </c>
    </row>
    <row r="62" ht="15.5" customHeight="1">
      <c r="B62" s="31" t="inlineStr">
        <is>
          <t>期末预计可回收净额</t>
        </is>
      </c>
      <c r="C62" s="48" t="n">
        <v>0</v>
      </c>
      <c r="D62" s="24" t="inlineStr">
        <is>
          <t>万元</t>
        </is>
      </c>
    </row>
    <row r="63" ht="15.5" customHeight="1">
      <c r="B63" s="31" t="inlineStr">
        <is>
          <t>折旧年限</t>
        </is>
      </c>
      <c r="C63" s="41" t="n">
        <v>20</v>
      </c>
      <c r="D63" s="24" t="inlineStr">
        <is>
          <t>年</t>
        </is>
      </c>
    </row>
    <row r="64" ht="15.5" customHeight="1">
      <c r="B64" s="31" t="inlineStr">
        <is>
          <t>残值率</t>
        </is>
      </c>
      <c r="C64" s="50" t="n">
        <v>0.05</v>
      </c>
      <c r="D64" s="24" t="inlineStr">
        <is>
          <t>%</t>
        </is>
      </c>
    </row>
    <row r="65" ht="15.5" customHeight="1">
      <c r="B65" s="31" t="inlineStr">
        <is>
          <t>所得税率</t>
        </is>
      </c>
      <c r="C65" s="50" t="n">
        <v>0.25</v>
      </c>
      <c r="D65" s="24" t="inlineStr">
        <is>
          <t>%</t>
        </is>
      </c>
    </row>
    <row r="66" ht="15.5" customHeight="1">
      <c r="B66" s="31" t="inlineStr">
        <is>
          <t>可抵扣进项税比例</t>
        </is>
      </c>
      <c r="C66" s="50" t="n">
        <v>0.1</v>
      </c>
      <c r="D66" s="24" t="inlineStr">
        <is>
          <t>%</t>
        </is>
      </c>
    </row>
    <row r="67" ht="15.5" customHeight="1">
      <c r="B67" s="31" t="inlineStr">
        <is>
          <t>基准折现率</t>
        </is>
      </c>
      <c r="C67" s="50" t="n">
        <v>0.06</v>
      </c>
      <c r="D67" s="24" t="inlineStr">
        <is>
          <t>%</t>
        </is>
      </c>
    </row>
    <row r="68" ht="15.5" customHeight="1">
      <c r="B68" s="31" t="inlineStr">
        <is>
          <t>储能更换年份</t>
        </is>
      </c>
      <c r="C68" s="41" t="n">
        <v>12</v>
      </c>
      <c r="D68" s="24" t="inlineStr">
        <is>
          <t>第N年</t>
        </is>
      </c>
    </row>
    <row r="69" ht="15.5" customHeight="1">
      <c r="B69" s="31" t="inlineStr">
        <is>
          <t>更换费用比例</t>
        </is>
      </c>
      <c r="C69" s="50" t="n">
        <v>0.5</v>
      </c>
      <c r="D69" s="24" t="inlineStr">
        <is>
          <t>%</t>
        </is>
      </c>
    </row>
    <row r="70" ht="15.5" customHeight="1"/>
    <row r="71" ht="15.5" customHeight="1">
      <c r="B71" s="45">
        <f>IF(_z7fj0w&gt;25,"运营期超过25年上限：年度现金流表最长25年，当前结果不完整，请修改运营期或用介子九维小程序测算","")</f>
        <v/>
      </c>
    </row>
    <row r="72" ht="15.5" customHeight="1">
      <c r="B72" s="45">
        <f>IF(AND(_z5sfpo&gt;0,_z7ukau&lt;=0),"填有土地取得费时应同时填写土地使用权税前摊销年限，否则该笔投资无法计提税前摊销","")</f>
        <v/>
      </c>
    </row>
    <row r="73" ht="15.5" customHeight="1">
      <c r="B73" s="24" t="inlineStr">
        <is>
          <t>建设期按1年、当年借款按半年计息；多年建设期暂不支持。</t>
        </is>
      </c>
    </row>
    <row r="74" ht="15.5" customHeight="1"/>
    <row r="75" ht="15.5" customHeight="1"/>
    <row r="76" ht="18" customHeight="1">
      <c r="B76" s="26" t="inlineStr">
        <is>
          <t>逐年现金流（万元）</t>
        </is>
      </c>
      <c r="C76" s="27" t="n"/>
      <c r="D76" s="27" t="n"/>
      <c r="E76" s="27" t="n"/>
    </row>
    <row r="77" ht="30" customHeight="1">
      <c r="B77" s="51" t="inlineStr">
        <is>
          <t>年份</t>
        </is>
      </c>
      <c r="C77" s="52" t="inlineStr">
        <is>
          <t>含税收入</t>
        </is>
      </c>
      <c r="D77" s="52" t="inlineStr">
        <is>
          <t>运维保险及租金</t>
        </is>
      </c>
      <c r="E77" s="52" t="inlineStr">
        <is>
          <t>实缴增值税</t>
        </is>
      </c>
      <c r="F77" s="52" t="inlineStr">
        <is>
          <t>附加税费</t>
        </is>
      </c>
      <c r="G77" s="52" t="inlineStr">
        <is>
          <t>更换支出</t>
        </is>
      </c>
      <c r="H77" s="52" t="inlineStr">
        <is>
          <t>期末回收</t>
        </is>
      </c>
      <c r="I77" s="52" t="inlineStr">
        <is>
          <t>所得税（全投资）</t>
        </is>
      </c>
      <c r="J77" s="52" t="inlineStr">
        <is>
          <t>税后全投资净现金流</t>
        </is>
      </c>
      <c r="K77" s="52" t="inlineStr">
        <is>
          <t>累计</t>
        </is>
      </c>
      <c r="L77" s="53" t="inlineStr">
        <is>
          <t>资本金净现金流</t>
        </is>
      </c>
    </row>
    <row r="78" ht="15.5" customHeight="1">
      <c r="B78" s="54" t="n">
        <v>0</v>
      </c>
      <c r="C78" s="36">
        <f>'_引擎'!F66</f>
        <v/>
      </c>
      <c r="D78" s="36" t="n">
        <v>0</v>
      </c>
      <c r="E78" s="36">
        <f>'_引擎'!M66</f>
        <v/>
      </c>
      <c r="F78" s="36">
        <f>'_引擎'!O66</f>
        <v/>
      </c>
      <c r="G78" s="36">
        <f>'_引擎'!I66</f>
        <v/>
      </c>
      <c r="H78" s="36">
        <f>'_引擎'!AR66</f>
        <v/>
      </c>
      <c r="I78" s="36">
        <f>'_引擎'!AH66</f>
        <v/>
      </c>
      <c r="J78" s="36">
        <f>'_引擎'!AU66</f>
        <v/>
      </c>
      <c r="K78" s="36">
        <f>'_引擎'!AW66</f>
        <v/>
      </c>
      <c r="L78" s="55">
        <f>'_引擎'!AV66</f>
        <v/>
      </c>
    </row>
    <row r="79" ht="15.5" customHeight="1">
      <c r="B79" s="54" t="n">
        <v>1</v>
      </c>
      <c r="C79" s="36">
        <f>'_引擎'!F67</f>
        <v/>
      </c>
      <c r="D79" s="36">
        <f>IF('_引擎'!B67,_zkfhzg,0)</f>
        <v/>
      </c>
      <c r="E79" s="36">
        <f>'_引擎'!M67</f>
        <v/>
      </c>
      <c r="F79" s="36">
        <f>'_引擎'!O67</f>
        <v/>
      </c>
      <c r="G79" s="36">
        <f>'_引擎'!I67</f>
        <v/>
      </c>
      <c r="H79" s="36">
        <f>'_引擎'!AR67</f>
        <v/>
      </c>
      <c r="I79" s="36">
        <f>'_引擎'!AH67</f>
        <v/>
      </c>
      <c r="J79" s="36">
        <f>'_引擎'!AU67</f>
        <v/>
      </c>
      <c r="K79" s="36">
        <f>'_引擎'!AW67</f>
        <v/>
      </c>
      <c r="L79" s="55">
        <f>'_引擎'!AV67</f>
        <v/>
      </c>
    </row>
    <row r="80" ht="15.5" customHeight="1">
      <c r="B80" s="54" t="n">
        <v>2</v>
      </c>
      <c r="C80" s="36">
        <f>'_引擎'!F68</f>
        <v/>
      </c>
      <c r="D80" s="36">
        <f>IF('_引擎'!B68,_zkfhzg,0)</f>
        <v/>
      </c>
      <c r="E80" s="36">
        <f>'_引擎'!M68</f>
        <v/>
      </c>
      <c r="F80" s="36">
        <f>'_引擎'!O68</f>
        <v/>
      </c>
      <c r="G80" s="36">
        <f>'_引擎'!I68</f>
        <v/>
      </c>
      <c r="H80" s="36">
        <f>'_引擎'!AR68</f>
        <v/>
      </c>
      <c r="I80" s="36">
        <f>'_引擎'!AH68</f>
        <v/>
      </c>
      <c r="J80" s="36">
        <f>'_引擎'!AU68</f>
        <v/>
      </c>
      <c r="K80" s="36">
        <f>'_引擎'!AW68</f>
        <v/>
      </c>
      <c r="L80" s="55">
        <f>'_引擎'!AV68</f>
        <v/>
      </c>
    </row>
    <row r="81" ht="15.5" customHeight="1">
      <c r="B81" s="54" t="n">
        <v>3</v>
      </c>
      <c r="C81" s="36">
        <f>'_引擎'!F69</f>
        <v/>
      </c>
      <c r="D81" s="36">
        <f>IF('_引擎'!B69,_zkfhzg,0)</f>
        <v/>
      </c>
      <c r="E81" s="36">
        <f>'_引擎'!M69</f>
        <v/>
      </c>
      <c r="F81" s="36">
        <f>'_引擎'!O69</f>
        <v/>
      </c>
      <c r="G81" s="36">
        <f>'_引擎'!I69</f>
        <v/>
      </c>
      <c r="H81" s="36">
        <f>'_引擎'!AR69</f>
        <v/>
      </c>
      <c r="I81" s="36">
        <f>'_引擎'!AH69</f>
        <v/>
      </c>
      <c r="J81" s="36">
        <f>'_引擎'!AU69</f>
        <v/>
      </c>
      <c r="K81" s="36">
        <f>'_引擎'!AW69</f>
        <v/>
      </c>
      <c r="L81" s="55">
        <f>'_引擎'!AV69</f>
        <v/>
      </c>
    </row>
    <row r="82" ht="15.5" customHeight="1">
      <c r="B82" s="54" t="n">
        <v>4</v>
      </c>
      <c r="C82" s="36">
        <f>'_引擎'!F70</f>
        <v/>
      </c>
      <c r="D82" s="36">
        <f>IF('_引擎'!B70,_zkfhzg,0)</f>
        <v/>
      </c>
      <c r="E82" s="36">
        <f>'_引擎'!M70</f>
        <v/>
      </c>
      <c r="F82" s="36">
        <f>'_引擎'!O70</f>
        <v/>
      </c>
      <c r="G82" s="36">
        <f>'_引擎'!I70</f>
        <v/>
      </c>
      <c r="H82" s="36">
        <f>'_引擎'!AR70</f>
        <v/>
      </c>
      <c r="I82" s="36">
        <f>'_引擎'!AH70</f>
        <v/>
      </c>
      <c r="J82" s="36">
        <f>'_引擎'!AU70</f>
        <v/>
      </c>
      <c r="K82" s="36">
        <f>'_引擎'!AW70</f>
        <v/>
      </c>
      <c r="L82" s="55">
        <f>'_引擎'!AV70</f>
        <v/>
      </c>
    </row>
    <row r="83" ht="15.5" customHeight="1">
      <c r="B83" s="54" t="n">
        <v>5</v>
      </c>
      <c r="C83" s="36">
        <f>'_引擎'!F71</f>
        <v/>
      </c>
      <c r="D83" s="36">
        <f>IF('_引擎'!B71,_zkfhzg,0)</f>
        <v/>
      </c>
      <c r="E83" s="36">
        <f>'_引擎'!M71</f>
        <v/>
      </c>
      <c r="F83" s="36">
        <f>'_引擎'!O71</f>
        <v/>
      </c>
      <c r="G83" s="36">
        <f>'_引擎'!I71</f>
        <v/>
      </c>
      <c r="H83" s="36">
        <f>'_引擎'!AR71</f>
        <v/>
      </c>
      <c r="I83" s="36">
        <f>'_引擎'!AH71</f>
        <v/>
      </c>
      <c r="J83" s="36">
        <f>'_引擎'!AU71</f>
        <v/>
      </c>
      <c r="K83" s="36">
        <f>'_引擎'!AW71</f>
        <v/>
      </c>
      <c r="L83" s="55">
        <f>'_引擎'!AV71</f>
        <v/>
      </c>
    </row>
    <row r="84" ht="15.5" customHeight="1">
      <c r="B84" s="54" t="n">
        <v>6</v>
      </c>
      <c r="C84" s="36">
        <f>'_引擎'!F72</f>
        <v/>
      </c>
      <c r="D84" s="36">
        <f>IF('_引擎'!B72,_zkfhzg,0)</f>
        <v/>
      </c>
      <c r="E84" s="36">
        <f>'_引擎'!M72</f>
        <v/>
      </c>
      <c r="F84" s="36">
        <f>'_引擎'!O72</f>
        <v/>
      </c>
      <c r="G84" s="36">
        <f>'_引擎'!I72</f>
        <v/>
      </c>
      <c r="H84" s="36">
        <f>'_引擎'!AR72</f>
        <v/>
      </c>
      <c r="I84" s="36">
        <f>'_引擎'!AH72</f>
        <v/>
      </c>
      <c r="J84" s="36">
        <f>'_引擎'!AU72</f>
        <v/>
      </c>
      <c r="K84" s="36">
        <f>'_引擎'!AW72</f>
        <v/>
      </c>
      <c r="L84" s="55">
        <f>'_引擎'!AV72</f>
        <v/>
      </c>
    </row>
    <row r="85" ht="15.5" customHeight="1">
      <c r="B85" s="54" t="n">
        <v>7</v>
      </c>
      <c r="C85" s="36">
        <f>'_引擎'!F73</f>
        <v/>
      </c>
      <c r="D85" s="36">
        <f>IF('_引擎'!B73,_zkfhzg,0)</f>
        <v/>
      </c>
      <c r="E85" s="36">
        <f>'_引擎'!M73</f>
        <v/>
      </c>
      <c r="F85" s="36">
        <f>'_引擎'!O73</f>
        <v/>
      </c>
      <c r="G85" s="36">
        <f>'_引擎'!I73</f>
        <v/>
      </c>
      <c r="H85" s="36">
        <f>'_引擎'!AR73</f>
        <v/>
      </c>
      <c r="I85" s="36">
        <f>'_引擎'!AH73</f>
        <v/>
      </c>
      <c r="J85" s="36">
        <f>'_引擎'!AU73</f>
        <v/>
      </c>
      <c r="K85" s="36">
        <f>'_引擎'!AW73</f>
        <v/>
      </c>
      <c r="L85" s="55">
        <f>'_引擎'!AV73</f>
        <v/>
      </c>
    </row>
    <row r="86" ht="15.5" customHeight="1">
      <c r="B86" s="54" t="n">
        <v>8</v>
      </c>
      <c r="C86" s="36">
        <f>'_引擎'!F74</f>
        <v/>
      </c>
      <c r="D86" s="36">
        <f>IF('_引擎'!B74,_zkfhzg,0)</f>
        <v/>
      </c>
      <c r="E86" s="36">
        <f>'_引擎'!M74</f>
        <v/>
      </c>
      <c r="F86" s="36">
        <f>'_引擎'!O74</f>
        <v/>
      </c>
      <c r="G86" s="36">
        <f>'_引擎'!I74</f>
        <v/>
      </c>
      <c r="H86" s="36">
        <f>'_引擎'!AR74</f>
        <v/>
      </c>
      <c r="I86" s="36">
        <f>'_引擎'!AH74</f>
        <v/>
      </c>
      <c r="J86" s="36">
        <f>'_引擎'!AU74</f>
        <v/>
      </c>
      <c r="K86" s="36">
        <f>'_引擎'!AW74</f>
        <v/>
      </c>
      <c r="L86" s="55">
        <f>'_引擎'!AV74</f>
        <v/>
      </c>
    </row>
    <row r="87" ht="15.5" customHeight="1">
      <c r="B87" s="54" t="n">
        <v>9</v>
      </c>
      <c r="C87" s="36">
        <f>'_引擎'!F75</f>
        <v/>
      </c>
      <c r="D87" s="36">
        <f>IF('_引擎'!B75,_zkfhzg,0)</f>
        <v/>
      </c>
      <c r="E87" s="36">
        <f>'_引擎'!M75</f>
        <v/>
      </c>
      <c r="F87" s="36">
        <f>'_引擎'!O75</f>
        <v/>
      </c>
      <c r="G87" s="36">
        <f>'_引擎'!I75</f>
        <v/>
      </c>
      <c r="H87" s="36">
        <f>'_引擎'!AR75</f>
        <v/>
      </c>
      <c r="I87" s="36">
        <f>'_引擎'!AH75</f>
        <v/>
      </c>
      <c r="J87" s="36">
        <f>'_引擎'!AU75</f>
        <v/>
      </c>
      <c r="K87" s="36">
        <f>'_引擎'!AW75</f>
        <v/>
      </c>
      <c r="L87" s="55">
        <f>'_引擎'!AV75</f>
        <v/>
      </c>
    </row>
    <row r="88" ht="15.5" customHeight="1">
      <c r="B88" s="54" t="n">
        <v>10</v>
      </c>
      <c r="C88" s="36">
        <f>'_引擎'!F76</f>
        <v/>
      </c>
      <c r="D88" s="36">
        <f>IF('_引擎'!B76,_zkfhzg,0)</f>
        <v/>
      </c>
      <c r="E88" s="36">
        <f>'_引擎'!M76</f>
        <v/>
      </c>
      <c r="F88" s="36">
        <f>'_引擎'!O76</f>
        <v/>
      </c>
      <c r="G88" s="36">
        <f>'_引擎'!I76</f>
        <v/>
      </c>
      <c r="H88" s="36">
        <f>'_引擎'!AR76</f>
        <v/>
      </c>
      <c r="I88" s="36">
        <f>'_引擎'!AH76</f>
        <v/>
      </c>
      <c r="J88" s="36">
        <f>'_引擎'!AU76</f>
        <v/>
      </c>
      <c r="K88" s="36">
        <f>'_引擎'!AW76</f>
        <v/>
      </c>
      <c r="L88" s="55">
        <f>'_引擎'!AV76</f>
        <v/>
      </c>
    </row>
    <row r="89" ht="15.5" customHeight="1">
      <c r="B89" s="54" t="n">
        <v>11</v>
      </c>
      <c r="C89" s="36">
        <f>'_引擎'!F77</f>
        <v/>
      </c>
      <c r="D89" s="36">
        <f>IF('_引擎'!B77,_zkfhzg,0)</f>
        <v/>
      </c>
      <c r="E89" s="36">
        <f>'_引擎'!M77</f>
        <v/>
      </c>
      <c r="F89" s="36">
        <f>'_引擎'!O77</f>
        <v/>
      </c>
      <c r="G89" s="36">
        <f>'_引擎'!I77</f>
        <v/>
      </c>
      <c r="H89" s="36">
        <f>'_引擎'!AR77</f>
        <v/>
      </c>
      <c r="I89" s="36">
        <f>'_引擎'!AH77</f>
        <v/>
      </c>
      <c r="J89" s="36">
        <f>'_引擎'!AU77</f>
        <v/>
      </c>
      <c r="K89" s="36">
        <f>'_引擎'!AW77</f>
        <v/>
      </c>
      <c r="L89" s="55">
        <f>'_引擎'!AV77</f>
        <v/>
      </c>
    </row>
    <row r="90" ht="15.5" customHeight="1">
      <c r="B90" s="54" t="n">
        <v>12</v>
      </c>
      <c r="C90" s="36">
        <f>'_引擎'!F78</f>
        <v/>
      </c>
      <c r="D90" s="36">
        <f>IF('_引擎'!B78,_zkfhzg,0)</f>
        <v/>
      </c>
      <c r="E90" s="36">
        <f>'_引擎'!M78</f>
        <v/>
      </c>
      <c r="F90" s="36">
        <f>'_引擎'!O78</f>
        <v/>
      </c>
      <c r="G90" s="36">
        <f>'_引擎'!I78</f>
        <v/>
      </c>
      <c r="H90" s="36">
        <f>'_引擎'!AR78</f>
        <v/>
      </c>
      <c r="I90" s="36">
        <f>'_引擎'!AH78</f>
        <v/>
      </c>
      <c r="J90" s="36">
        <f>'_引擎'!AU78</f>
        <v/>
      </c>
      <c r="K90" s="36">
        <f>'_引擎'!AW78</f>
        <v/>
      </c>
      <c r="L90" s="55">
        <f>'_引擎'!AV78</f>
        <v/>
      </c>
    </row>
    <row r="91" ht="15.5" customHeight="1">
      <c r="B91" s="54" t="n">
        <v>13</v>
      </c>
      <c r="C91" s="36">
        <f>'_引擎'!F79</f>
        <v/>
      </c>
      <c r="D91" s="36">
        <f>IF('_引擎'!B79,_zkfhzg,0)</f>
        <v/>
      </c>
      <c r="E91" s="36">
        <f>'_引擎'!M79</f>
        <v/>
      </c>
      <c r="F91" s="36">
        <f>'_引擎'!O79</f>
        <v/>
      </c>
      <c r="G91" s="36">
        <f>'_引擎'!I79</f>
        <v/>
      </c>
      <c r="H91" s="36">
        <f>'_引擎'!AR79</f>
        <v/>
      </c>
      <c r="I91" s="36">
        <f>'_引擎'!AH79</f>
        <v/>
      </c>
      <c r="J91" s="36">
        <f>'_引擎'!AU79</f>
        <v/>
      </c>
      <c r="K91" s="36">
        <f>'_引擎'!AW79</f>
        <v/>
      </c>
      <c r="L91" s="55">
        <f>'_引擎'!AV79</f>
        <v/>
      </c>
    </row>
    <row r="92" ht="15.5" customHeight="1">
      <c r="B92" s="54" t="n">
        <v>14</v>
      </c>
      <c r="C92" s="36">
        <f>'_引擎'!F80</f>
        <v/>
      </c>
      <c r="D92" s="36">
        <f>IF('_引擎'!B80,_zkfhzg,0)</f>
        <v/>
      </c>
      <c r="E92" s="36">
        <f>'_引擎'!M80</f>
        <v/>
      </c>
      <c r="F92" s="36">
        <f>'_引擎'!O80</f>
        <v/>
      </c>
      <c r="G92" s="36">
        <f>'_引擎'!I80</f>
        <v/>
      </c>
      <c r="H92" s="36">
        <f>'_引擎'!AR80</f>
        <v/>
      </c>
      <c r="I92" s="36">
        <f>'_引擎'!AH80</f>
        <v/>
      </c>
      <c r="J92" s="36">
        <f>'_引擎'!AU80</f>
        <v/>
      </c>
      <c r="K92" s="36">
        <f>'_引擎'!AW80</f>
        <v/>
      </c>
      <c r="L92" s="55">
        <f>'_引擎'!AV80</f>
        <v/>
      </c>
    </row>
    <row r="93" ht="15.5" customHeight="1">
      <c r="B93" s="54" t="n">
        <v>15</v>
      </c>
      <c r="C93" s="36">
        <f>'_引擎'!F81</f>
        <v/>
      </c>
      <c r="D93" s="36">
        <f>IF('_引擎'!B81,_zkfhzg,0)</f>
        <v/>
      </c>
      <c r="E93" s="36">
        <f>'_引擎'!M81</f>
        <v/>
      </c>
      <c r="F93" s="36">
        <f>'_引擎'!O81</f>
        <v/>
      </c>
      <c r="G93" s="36">
        <f>'_引擎'!I81</f>
        <v/>
      </c>
      <c r="H93" s="36">
        <f>'_引擎'!AR81</f>
        <v/>
      </c>
      <c r="I93" s="36">
        <f>'_引擎'!AH81</f>
        <v/>
      </c>
      <c r="J93" s="36">
        <f>'_引擎'!AU81</f>
        <v/>
      </c>
      <c r="K93" s="36">
        <f>'_引擎'!AW81</f>
        <v/>
      </c>
      <c r="L93" s="55">
        <f>'_引擎'!AV81</f>
        <v/>
      </c>
    </row>
    <row r="94" ht="15.5" customHeight="1">
      <c r="B94" s="54" t="n">
        <v>16</v>
      </c>
      <c r="C94" s="36">
        <f>'_引擎'!F82</f>
        <v/>
      </c>
      <c r="D94" s="36">
        <f>IF('_引擎'!B82,_zkfhzg,0)</f>
        <v/>
      </c>
      <c r="E94" s="36">
        <f>'_引擎'!M82</f>
        <v/>
      </c>
      <c r="F94" s="36">
        <f>'_引擎'!O82</f>
        <v/>
      </c>
      <c r="G94" s="36">
        <f>'_引擎'!I82</f>
        <v/>
      </c>
      <c r="H94" s="36">
        <f>'_引擎'!AR82</f>
        <v/>
      </c>
      <c r="I94" s="36">
        <f>'_引擎'!AH82</f>
        <v/>
      </c>
      <c r="J94" s="36">
        <f>'_引擎'!AU82</f>
        <v/>
      </c>
      <c r="K94" s="36">
        <f>'_引擎'!AW82</f>
        <v/>
      </c>
      <c r="L94" s="55">
        <f>'_引擎'!AV82</f>
        <v/>
      </c>
    </row>
    <row r="95" ht="15.5" customHeight="1">
      <c r="B95" s="54" t="n">
        <v>17</v>
      </c>
      <c r="C95" s="36">
        <f>'_引擎'!F83</f>
        <v/>
      </c>
      <c r="D95" s="36">
        <f>IF('_引擎'!B83,_zkfhzg,0)</f>
        <v/>
      </c>
      <c r="E95" s="36">
        <f>'_引擎'!M83</f>
        <v/>
      </c>
      <c r="F95" s="36">
        <f>'_引擎'!O83</f>
        <v/>
      </c>
      <c r="G95" s="36">
        <f>'_引擎'!I83</f>
        <v/>
      </c>
      <c r="H95" s="36">
        <f>'_引擎'!AR83</f>
        <v/>
      </c>
      <c r="I95" s="36">
        <f>'_引擎'!AH83</f>
        <v/>
      </c>
      <c r="J95" s="36">
        <f>'_引擎'!AU83</f>
        <v/>
      </c>
      <c r="K95" s="36">
        <f>'_引擎'!AW83</f>
        <v/>
      </c>
      <c r="L95" s="55">
        <f>'_引擎'!AV83</f>
        <v/>
      </c>
    </row>
    <row r="96" ht="15.5" customHeight="1">
      <c r="B96" s="54" t="n">
        <v>18</v>
      </c>
      <c r="C96" s="36">
        <f>'_引擎'!F84</f>
        <v/>
      </c>
      <c r="D96" s="36">
        <f>IF('_引擎'!B84,_zkfhzg,0)</f>
        <v/>
      </c>
      <c r="E96" s="36">
        <f>'_引擎'!M84</f>
        <v/>
      </c>
      <c r="F96" s="36">
        <f>'_引擎'!O84</f>
        <v/>
      </c>
      <c r="G96" s="36">
        <f>'_引擎'!I84</f>
        <v/>
      </c>
      <c r="H96" s="36">
        <f>'_引擎'!AR84</f>
        <v/>
      </c>
      <c r="I96" s="36">
        <f>'_引擎'!AH84</f>
        <v/>
      </c>
      <c r="J96" s="36">
        <f>'_引擎'!AU84</f>
        <v/>
      </c>
      <c r="K96" s="36">
        <f>'_引擎'!AW84</f>
        <v/>
      </c>
      <c r="L96" s="55">
        <f>'_引擎'!AV84</f>
        <v/>
      </c>
    </row>
    <row r="97" ht="15.5" customHeight="1">
      <c r="B97" s="54" t="n">
        <v>19</v>
      </c>
      <c r="C97" s="36">
        <f>'_引擎'!F85</f>
        <v/>
      </c>
      <c r="D97" s="36">
        <f>IF('_引擎'!B85,_zkfhzg,0)</f>
        <v/>
      </c>
      <c r="E97" s="36">
        <f>'_引擎'!M85</f>
        <v/>
      </c>
      <c r="F97" s="36">
        <f>'_引擎'!O85</f>
        <v/>
      </c>
      <c r="G97" s="36">
        <f>'_引擎'!I85</f>
        <v/>
      </c>
      <c r="H97" s="36">
        <f>'_引擎'!AR85</f>
        <v/>
      </c>
      <c r="I97" s="36">
        <f>'_引擎'!AH85</f>
        <v/>
      </c>
      <c r="J97" s="36">
        <f>'_引擎'!AU85</f>
        <v/>
      </c>
      <c r="K97" s="36">
        <f>'_引擎'!AW85</f>
        <v/>
      </c>
      <c r="L97" s="55">
        <f>'_引擎'!AV85</f>
        <v/>
      </c>
    </row>
    <row r="98" ht="15.5" customHeight="1">
      <c r="B98" s="54" t="n">
        <v>20</v>
      </c>
      <c r="C98" s="36">
        <f>'_引擎'!F86</f>
        <v/>
      </c>
      <c r="D98" s="36">
        <f>IF('_引擎'!B86,_zkfhzg,0)</f>
        <v/>
      </c>
      <c r="E98" s="36">
        <f>'_引擎'!M86</f>
        <v/>
      </c>
      <c r="F98" s="36">
        <f>'_引擎'!O86</f>
        <v/>
      </c>
      <c r="G98" s="36">
        <f>'_引擎'!I86</f>
        <v/>
      </c>
      <c r="H98" s="36">
        <f>'_引擎'!AR86</f>
        <v/>
      </c>
      <c r="I98" s="36">
        <f>'_引擎'!AH86</f>
        <v/>
      </c>
      <c r="J98" s="36">
        <f>'_引擎'!AU86</f>
        <v/>
      </c>
      <c r="K98" s="36">
        <f>'_引擎'!AW86</f>
        <v/>
      </c>
      <c r="L98" s="55">
        <f>'_引擎'!AV86</f>
        <v/>
      </c>
    </row>
    <row r="99" ht="15.5" customHeight="1">
      <c r="B99" s="54" t="n">
        <v>21</v>
      </c>
      <c r="C99" s="36">
        <f>'_引擎'!F87</f>
        <v/>
      </c>
      <c r="D99" s="36">
        <f>IF('_引擎'!B87,_zkfhzg,0)</f>
        <v/>
      </c>
      <c r="E99" s="36">
        <f>'_引擎'!M87</f>
        <v/>
      </c>
      <c r="F99" s="36">
        <f>'_引擎'!O87</f>
        <v/>
      </c>
      <c r="G99" s="36">
        <f>'_引擎'!I87</f>
        <v/>
      </c>
      <c r="H99" s="36">
        <f>'_引擎'!AR87</f>
        <v/>
      </c>
      <c r="I99" s="36">
        <f>'_引擎'!AH87</f>
        <v/>
      </c>
      <c r="J99" s="36">
        <f>'_引擎'!AU87</f>
        <v/>
      </c>
      <c r="K99" s="36">
        <f>'_引擎'!AW87</f>
        <v/>
      </c>
      <c r="L99" s="55">
        <f>'_引擎'!AV87</f>
        <v/>
      </c>
    </row>
    <row r="100" ht="15.5" customHeight="1">
      <c r="B100" s="54" t="n">
        <v>22</v>
      </c>
      <c r="C100" s="36">
        <f>'_引擎'!F88</f>
        <v/>
      </c>
      <c r="D100" s="36">
        <f>IF('_引擎'!B88,_zkfhzg,0)</f>
        <v/>
      </c>
      <c r="E100" s="36">
        <f>'_引擎'!M88</f>
        <v/>
      </c>
      <c r="F100" s="36">
        <f>'_引擎'!O88</f>
        <v/>
      </c>
      <c r="G100" s="36">
        <f>'_引擎'!I88</f>
        <v/>
      </c>
      <c r="H100" s="36">
        <f>'_引擎'!AR88</f>
        <v/>
      </c>
      <c r="I100" s="36">
        <f>'_引擎'!AH88</f>
        <v/>
      </c>
      <c r="J100" s="36">
        <f>'_引擎'!AU88</f>
        <v/>
      </c>
      <c r="K100" s="36">
        <f>'_引擎'!AW88</f>
        <v/>
      </c>
      <c r="L100" s="55">
        <f>'_引擎'!AV88</f>
        <v/>
      </c>
    </row>
    <row r="101" ht="15.5" customHeight="1">
      <c r="B101" s="54" t="n">
        <v>23</v>
      </c>
      <c r="C101" s="36">
        <f>'_引擎'!F89</f>
        <v/>
      </c>
      <c r="D101" s="36">
        <f>IF('_引擎'!B89,_zkfhzg,0)</f>
        <v/>
      </c>
      <c r="E101" s="36">
        <f>'_引擎'!M89</f>
        <v/>
      </c>
      <c r="F101" s="36">
        <f>'_引擎'!O89</f>
        <v/>
      </c>
      <c r="G101" s="36">
        <f>'_引擎'!I89</f>
        <v/>
      </c>
      <c r="H101" s="36">
        <f>'_引擎'!AR89</f>
        <v/>
      </c>
      <c r="I101" s="36">
        <f>'_引擎'!AH89</f>
        <v/>
      </c>
      <c r="J101" s="36">
        <f>'_引擎'!AU89</f>
        <v/>
      </c>
      <c r="K101" s="36">
        <f>'_引擎'!AW89</f>
        <v/>
      </c>
      <c r="L101" s="55">
        <f>'_引擎'!AV89</f>
        <v/>
      </c>
    </row>
    <row r="102" ht="15.5" customHeight="1">
      <c r="B102" s="54" t="n">
        <v>24</v>
      </c>
      <c r="C102" s="36">
        <f>'_引擎'!F90</f>
        <v/>
      </c>
      <c r="D102" s="36">
        <f>IF('_引擎'!B90,_zkfhzg,0)</f>
        <v/>
      </c>
      <c r="E102" s="36">
        <f>'_引擎'!M90</f>
        <v/>
      </c>
      <c r="F102" s="36">
        <f>'_引擎'!O90</f>
        <v/>
      </c>
      <c r="G102" s="36">
        <f>'_引擎'!I90</f>
        <v/>
      </c>
      <c r="H102" s="36">
        <f>'_引擎'!AR90</f>
        <v/>
      </c>
      <c r="I102" s="36">
        <f>'_引擎'!AH90</f>
        <v/>
      </c>
      <c r="J102" s="36">
        <f>'_引擎'!AU90</f>
        <v/>
      </c>
      <c r="K102" s="36">
        <f>'_引擎'!AW90</f>
        <v/>
      </c>
      <c r="L102" s="55">
        <f>'_引擎'!AV90</f>
        <v/>
      </c>
    </row>
    <row r="103" ht="15.5" customHeight="1">
      <c r="B103" s="56" t="n">
        <v>25</v>
      </c>
      <c r="C103" s="43">
        <f>'_引擎'!F91</f>
        <v/>
      </c>
      <c r="D103" s="43">
        <f>IF('_引擎'!B91,_zkfhzg,0)</f>
        <v/>
      </c>
      <c r="E103" s="43">
        <f>'_引擎'!M91</f>
        <v/>
      </c>
      <c r="F103" s="43">
        <f>'_引擎'!O91</f>
        <v/>
      </c>
      <c r="G103" s="43">
        <f>'_引擎'!I91</f>
        <v/>
      </c>
      <c r="H103" s="43">
        <f>'_引擎'!AR91</f>
        <v/>
      </c>
      <c r="I103" s="43">
        <f>'_引擎'!AH91</f>
        <v/>
      </c>
      <c r="J103" s="43">
        <f>'_引擎'!AU91</f>
        <v/>
      </c>
      <c r="K103" s="43">
        <f>'_引擎'!AW91</f>
        <v/>
      </c>
      <c r="L103" s="57">
        <f>'_引擎'!AV91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07E"/>
  <conditionalFormatting sqref="J17">
    <cfRule type="expression" priority="1" dxfId="0">
      <formula>$J$17="不满足"</formula>
    </cfRule>
    <cfRule type="expression" priority="2" dxfId="1">
      <formula>NOT(ISERROR(SEARCH("通过",$J$17)))</formula>
    </cfRule>
  </conditionalFormatting>
  <conditionalFormatting sqref="J18">
    <cfRule type="expression" priority="3" dxfId="0">
      <formula>$J$18="不满足"</formula>
    </cfRule>
    <cfRule type="expression" priority="4" dxfId="1">
      <formula>NOT(ISERROR(SEARCH("通过",$J$18)))</formula>
    </cfRule>
  </conditionalFormatting>
  <conditionalFormatting sqref="J19">
    <cfRule type="expression" priority="5" dxfId="0">
      <formula>$J$19="不满足"</formula>
    </cfRule>
    <cfRule type="expression" priority="6" dxfId="1">
      <formula>NOT(ISERROR(SEARCH("通过",$J$19)))</formula>
    </cfRule>
  </conditionalFormatting>
  <conditionalFormatting sqref="J79:J103">
    <cfRule type="dataBar" priority="7">
      <dataBar showValue="1">
        <cfvo type="num" val="0"/>
        <cfvo type="max"/>
        <color rgb="001F3864"/>
      </dataBar>
    </cfRule>
  </conditionalFormatting>
  <dataValidations count="54">
    <dataValidation sqref="C5" showDropDown="0" showInputMessage="0" showErrorMessage="0" allowBlank="0" type="list">
      <formula1>"并网型,离网型"</formula1>
    </dataValidation>
    <dataValidation sqref="C6" showDropDown="0" showInputMessage="0" showErrorMessage="0" allowBlank="0" type="list">
      <formula1>"单一容量制,两部制"</formula1>
    </dataValidation>
    <dataValidation sqref="C7" showDropDown="0" showInputMessage="0" showErrorMessage="0" allowBlank="0" type="list">
      <formula1>"按容量,按需量"</formula1>
    </dataValidation>
    <dataValidation sqref="C8" showDropDown="0" showInputMessage="0" showErrorMessage="0" allowBlank="0" type="list">
      <formula1>"下网+自用,仅下网"</formula1>
    </dataValidation>
    <dataValidation sqref="C9" showDropDown="0" showInputMessage="0" showErrorMessage="0" allowBlank="0" type="list">
      <formula1>"是,否"</formula1>
    </dataValidation>
    <dataValidation sqref="C12" showDropDown="0" showInputMessage="0" showErrorMessage="0" allowBlank="0" type="list">
      <formula1>=_zqgx7v</formula1>
    </dataValidation>
    <dataValidation sqref="C13" showDropDown="0" showInputMessage="0" showErrorMessage="0" allowBlank="0" type="list">
      <formula1>"1~10(20)千伏,35千伏,110千伏,220千伏及以上"</formula1>
    </dataValidation>
    <dataValidation sqref="E14" showDropDown="0" showInputMessage="0" showErrorMessage="1" allowBlank="1" errorTitle="超出可填范围" error="输配电度电价（覆盖值）可填范围为0~1 元/kWh，请核实后重新填写。" type="decimal" operator="between">
      <formula1>0</formula1>
      <formula2>1</formula2>
    </dataValidation>
    <dataValidation sqref="E15" showDropDown="0" showInputMessage="0" showErrorMessage="1" allowBlank="1" errorTitle="超出可填范围" error="需量电价（覆盖值）可填范围为0~100 元/kW·月，请核实后重新填写。" type="decimal" operator="between">
      <formula1>0</formula1>
      <formula2>100</formula2>
    </dataValidation>
    <dataValidation sqref="E16" showDropDown="0" showInputMessage="0" showErrorMessage="1" allowBlank="1" errorTitle="超出可填范围" error="容量电价（覆盖值）可填范围为0~100 元/kVA·月，请核实后重新填写。" type="decimal" operator="between">
      <formula1>0</formula1>
      <formula2>100</formula2>
    </dataValidation>
    <dataValidation sqref="C20" showDropDown="0" showInputMessage="0" showErrorMessage="1" allowBlank="1" errorTitle="超出可填范围" error="光伏装机可填范围为0~10,000 MW，请核实后重新填写。" type="decimal" operator="between">
      <formula1>0</formula1>
      <formula2>10000</formula2>
    </dataValidation>
    <dataValidation sqref="C21" showDropDown="0" showInputMessage="0" showErrorMessage="1" allowBlank="1" errorTitle="超出可填范围" error="光伏年利用小时可填范围为0~8,760 h，请核实后重新填写。" type="decimal" operator="between">
      <formula1>0</formula1>
      <formula2>8760</formula2>
    </dataValidation>
    <dataValidation sqref="C22" showDropDown="0" showInputMessage="0" showErrorMessage="1" allowBlank="1" errorTitle="超出可填范围" error="风电装机可填范围为0~10,000 MW，请核实后重新填写。" type="decimal" operator="between">
      <formula1>0</formula1>
      <formula2>10000</formula2>
    </dataValidation>
    <dataValidation sqref="C23" showDropDown="0" showInputMessage="0" showErrorMessage="1" allowBlank="1" errorTitle="超出可填范围" error="风电年利用小时可填范围为0~8,760 h，请核实后重新填写。" type="decimal" operator="between">
      <formula1>0</formula1>
      <formula2>8760</formula2>
    </dataValidation>
    <dataValidation sqref="C24" showDropDown="0" showInputMessage="0" showErrorMessage="1" allowBlank="1" errorTitle="超出可填范围" error="储能功率可填范围为0~5,000 MW，请核实后重新填写。" type="decimal" operator="between">
      <formula1>0</formula1>
      <formula2>5000</formula2>
    </dataValidation>
    <dataValidation sqref="C25" showDropDown="0" showInputMessage="0" showErrorMessage="1" allowBlank="1" errorTitle="超出可填范围" error="储能容量可填范围为0~20,000 MWh，请核实后重新填写。" type="decimal" operator="between">
      <formula1>0</formula1>
      <formula2>20000</formula2>
    </dataValidation>
    <dataValidation sqref="C26" showDropDown="0" showInputMessage="0" showErrorMessage="1" allowBlank="1" errorTitle="超出可填范围" error="接入公网容量（自主申报）可填范围为0~10,000,000 kVA，请核实后重新填写。" type="decimal" operator="between">
      <formula1>0</formula1>
      <formula2>10000000</formula2>
    </dataValidation>
    <dataValidation sqref="C27" showDropDown="0" showInputMessage="0" showErrorMessage="1" allowBlank="1" errorTitle="超出可填范围" error="申报（合同）最大需量可填范围为0~10,000,000 kW，请核实后重新填写。" type="decimal" operator="between">
      <formula1>0</formula1>
      <formula2>10000000</formula2>
    </dataValidation>
    <dataValidation sqref="C30" showDropDown="0" showInputMessage="0" showErrorMessage="1" allowBlank="1" errorTitle="超出可填范围" error="用户年用电量可填范围为0~1,000,000 万kWh，请核实后重新填写。" type="decimal" operator="between">
      <formula1>0</formula1>
      <formula2>1000000</formula2>
    </dataValidation>
    <dataValidation sqref="C31" showDropDown="0" showInputMessage="0" showErrorMessage="1" allowBlank="1" errorTitle="超出可填范围" error="年自发自用电量可填范围为0~1,000,000 万kWh，请核实后重新填写。" type="decimal" operator="between">
      <formula1>0</formula1>
      <formula2>1000000</formula2>
    </dataValidation>
    <dataValidation sqref="C32" showDropDown="0" showInputMessage="0" showErrorMessage="1" allowBlank="1" errorTitle="超出可填范围" error="弃电率可填范围为0%~100%，请核实后重新填写。" type="decimal" operator="between">
      <formula1>0</formula1>
      <formula2>1</formula2>
    </dataValidation>
    <dataValidation sqref="C33" showDropDown="0" showInputMessage="0" showErrorMessage="1" allowBlank="1" errorTitle="超出可填范围" error="年出力衰减率可填范围为0%~10%，请核实后重新填写。" type="decimal" operator="between">
      <formula1>0</formula1>
      <formula2>0.1</formula2>
    </dataValidation>
    <dataValidation sqref="C36" showDropDown="0" showInputMessage="0" showErrorMessage="1" allowBlank="1" errorTitle="超出可填范围" error="直供电价（协商）可填范围为0~10 元/kWh，请核实后重新填写。" type="decimal" operator="between">
      <formula1>0</formula1>
      <formula2>10</formula2>
    </dataValidation>
    <dataValidation sqref="C37" showDropDown="0" showInputMessage="0" showErrorMessage="1" allowBlank="1" errorTitle="超出可填范围" error="下网市场购电价可填范围为0~10 元/kWh，请核实后重新填写。" type="decimal" operator="between">
      <formula1>0</formula1>
      <formula2>10</formula2>
    </dataValidation>
    <dataValidation sqref="C38" showDropDown="0" showInputMessage="0" showErrorMessage="1" allowBlank="1" errorTitle="超出可填范围" error="电网购电对比到户价可填范围为0~10 元/kWh，请核实后重新填写。" type="decimal" operator="between">
      <formula1>0</formula1>
      <formula2>10</formula2>
    </dataValidation>
    <dataValidation sqref="C39" showDropDown="0" showInputMessage="0" showErrorMessage="1" allowBlank="1" errorTitle="超出可填范围" error="上网结算均价可填范围为-1~10 元/kWh，请核实后重新填写。" type="decimal" operator="between">
      <formula1>-1</formula1>
      <formula2>10</formula2>
    </dataValidation>
    <dataValidation sqref="C40" showDropDown="0" showInputMessage="0" showErrorMessage="1" allowBlank="1" errorTitle="超出可填范围" error="平均负荷率可填范围为0%~100%，请核实后重新填写。" type="decimal" operator="between">
      <formula1>0</formula1>
      <formula2>1</formula2>
    </dataValidation>
    <dataValidation sqref="C41" showDropDown="0" showInputMessage="0" showErrorMessage="1" allowBlank="1" errorTitle="超出可填范围" error="系统运行费单价可填范围为0~0.3 元/kWh，请核实后重新填写。" type="decimal" operator="between">
      <formula1>0</formula1>
      <formula2>0.3</formula2>
    </dataValidation>
    <dataValidation sqref="C42" showDropDown="0" showInputMessage="0" showErrorMessage="1" allowBlank="1" errorTitle="超出可填范围" error="上网环节线损费用单价可填范围为0~0.3 元/kWh，请核实后重新填写。" type="decimal" operator="between">
      <formula1>0</formula1>
      <formula2>0.3</formula2>
    </dataValidation>
    <dataValidation sqref="C43" showDropDown="0" showInputMessage="0" showErrorMessage="1" allowBlank="1" errorTitle="超出可填范围" error="政府性基金及附加单价可填范围为0~0.1 元/kWh，请核实后重新填写。" type="decimal" operator="between">
      <formula1>0</formula1>
      <formula2>0.1</formula2>
    </dataValidation>
    <dataValidation sqref="C44" showDropDown="0" showInputMessage="0" showErrorMessage="1" allowBlank="1" errorTitle="超出可填范围" error="交叉补贴单价（已并入系统运行费的省份填0）可填范围为-1~1 元/kWh，请核实后重新填写。" type="decimal" operator="between">
      <formula1>-1</formula1>
      <formula2>1</formula2>
    </dataValidation>
    <dataValidation sqref="C45" showDropDown="0" showInputMessage="0" showErrorMessage="1" allowBlank="1" errorTitle="超出可填范围" error="绿证/CBAM折算单价（单列）可填范围为0~0.1 元/kWh，请核实后重新填写。" type="decimal" operator="between">
      <formula1>0</formula1>
      <formula2>0.1</formula2>
    </dataValidation>
    <dataValidation sqref="C48" showDropDown="0" showInputMessage="0" showErrorMessage="1" allowBlank="1" errorTitle="超出可填范围" error="光伏单位投资可填范围为0~10 元/W，请核实后重新填写。" type="decimal" operator="between">
      <formula1>0</formula1>
      <formula2>10</formula2>
    </dataValidation>
    <dataValidation sqref="C49" showDropDown="0" showInputMessage="0" showErrorMessage="1" allowBlank="1" errorTitle="超出可填范围" error="风电单位投资可填范围为0~10 元/W，请核实后重新填写。" type="decimal" operator="between">
      <formula1>0</formula1>
      <formula2>10</formula2>
    </dataValidation>
    <dataValidation sqref="C50" showDropDown="0" showInputMessage="0" showErrorMessage="1" allowBlank="1" errorTitle="超出可填范围" error="储能单位投资可填范围为0~5 元/Wh，请核实后重新填写。" type="decimal" operator="between">
      <formula1>0</formula1>
      <formula2>5</formula2>
    </dataValidation>
    <dataValidation sqref="C51" showDropDown="0" showInputMessage="0" showErrorMessage="1" allowBlank="1" errorTitle="超出可填范围" error="专线及升压投资可填范围为0~1,000,000 万元，请核实后重新填写。" type="decimal" operator="between">
      <formula1>0</formula1>
      <formula2>1000000</formula2>
    </dataValidation>
    <dataValidation sqref="C52" showDropDown="0" showInputMessage="0" showErrorMessage="1" allowBlank="1" errorTitle="超出可填范围" error="资本金比例应大于零且不超过100%。" type="decimal" operator="between">
      <formula1>0.0001</formula1>
      <formula2>1</formula2>
    </dataValidation>
    <dataValidation sqref="C53" showDropDown="0" showInputMessage="0" showErrorMessage="1" allowBlank="1" errorTitle="超出可填范围" error="贷款利率可填范围为0%~20%，请核实后重新填写。" type="decimal" operator="between">
      <formula1>0</formula1>
      <formula2>0.2</formula2>
    </dataValidation>
    <dataValidation sqref="C54" showDropDown="0" showInputMessage="0" showErrorMessage="1" allowBlank="1" errorTitle="超出可填范围" error="贷款年限须为1~60的整数。" type="whole" operator="between">
      <formula1>1</formula1>
      <formula2>60</formula2>
    </dataValidation>
    <dataValidation sqref="C55" showDropDown="0" showInputMessage="0" showErrorMessage="1" allowBlank="1" errorTitle="超出可填范围" error="运营期须为1~25的整数；本工作簿现金流表最长支持25年，更长评价期请用介子九维小程序在线测算。" type="whole" operator="between">
      <formula1>1</formula1>
      <formula2>25</formula2>
    </dataValidation>
    <dataValidation sqref="C56" showDropDown="0" showInputMessage="0" showErrorMessage="1" allowBlank="1" errorTitle="超出可填范围" error="运维费率可填范围为0%~10%，请核实后重新填写。" type="decimal" operator="between">
      <formula1>0</formula1>
      <formula2>0.1</formula2>
    </dataValidation>
    <dataValidation sqref="C57" showDropDown="0" showInputMessage="0" showErrorMessage="1" allowBlank="1" errorTitle="超出可填范围" error="保险费率可填范围为0%~5%，请核实后重新填写。" type="decimal" operator="between">
      <formula1>0</formula1>
      <formula2>0.05</formula2>
    </dataValidation>
    <dataValidation sqref="C58" showDropDown="0" showInputMessage="0" showErrorMessage="1" allowBlank="1" errorTitle="超出可填范围" error="土地/场地租金（不含税）可填范围为0~100,000 万元/年，请核实后重新填写。" type="decimal" operator="between">
      <formula1>0</formula1>
      <formula2>100000</formula2>
    </dataValidation>
    <dataValidation sqref="C59" showDropDown="0" showInputMessage="0" showErrorMessage="1" allowBlank="1" errorTitle="超出可填范围" error="土地取得费可填范围为0~1,000,000 万元，请核实后重新填写。" type="decimal" operator="between">
      <formula1>0</formula1>
      <formula2>1000000</formula2>
    </dataValidation>
    <dataValidation sqref="C60" showDropDown="0" showInputMessage="0" showErrorMessage="1" allowBlank="1" errorTitle="超出可填范围" error="土地使用权税前摊销年限须为0~60的整数；填0表示无土地取得费或摊销年限未定。" type="whole" operator="between">
      <formula1>0</formula1>
      <formula2>60</formula2>
    </dataValidation>
    <dataValidation sqref="C61" showDropDown="0" showInputMessage="0" showErrorMessage="1" allowBlank="1" errorTitle="超出可填范围" error="土地可抵扣进项税额可填范围为0~1,000,000 万元，请核实后重新填写。" type="decimal" operator="between">
      <formula1>0</formula1>
      <formula2>1000000</formula2>
    </dataValidation>
    <dataValidation sqref="C62" showDropDown="0" showInputMessage="0" showErrorMessage="1" allowBlank="1" errorTitle="超出可填范围" error="期末预计可回收净额可填范围为0~1,000,000 万元，请核实后重新填写。" type="decimal" operator="between">
      <formula1>0</formula1>
      <formula2>1000000</formula2>
    </dataValidation>
    <dataValidation sqref="C63" showDropDown="0" showInputMessage="0" showErrorMessage="1" allowBlank="1" errorTitle="超出可填范围" error="折旧年限须为1~60的整数。" type="whole" operator="between">
      <formula1>1</formula1>
      <formula2>60</formula2>
    </dataValidation>
    <dataValidation sqref="C64" showDropDown="0" showInputMessage="0" showErrorMessage="1" allowBlank="1" errorTitle="超出可填范围" error="残值率可填范围为0%~20%，请核实后重新填写。" type="decimal" operator="between">
      <formula1>0</formula1>
      <formula2>0.2</formula2>
    </dataValidation>
    <dataValidation sqref="C65" showDropDown="0" showInputMessage="0" showErrorMessage="1" allowBlank="1" errorTitle="超出可填范围" error="所得税率可填范围为0%~35%，请核实后重新填写。" type="decimal" operator="between">
      <formula1>0</formula1>
      <formula2>0.35</formula2>
    </dataValidation>
    <dataValidation sqref="C66" showDropDown="0" showInputMessage="0" showErrorMessage="1" allowBlank="1" errorTitle="超出可填范围" error="可抵扣进项税比例应不为负且不超过13/113（约11.5%）。" type="decimal" operator="between">
      <formula1>0</formula1>
      <formula2>0.11504424778761063</formula2>
    </dataValidation>
    <dataValidation sqref="C67" showDropDown="0" showInputMessage="0" showErrorMessage="1" allowBlank="1" errorTitle="超出可填范围" error="基准折现率可填范围为0%~20%，请核实后重新填写。" type="decimal" operator="between">
      <formula1>0</formula1>
      <formula2>0.2</formula2>
    </dataValidation>
    <dataValidation sqref="C68" showDropDown="0" showInputMessage="0" showErrorMessage="1" allowBlank="1" errorTitle="超出可填范围" error="储能更换年份须为0~60的整数；填0或大于运营期表示不发生更换。" type="whole" operator="between">
      <formula1>0</formula1>
      <formula2>60</formula2>
    </dataValidation>
    <dataValidation sqref="C69" showDropDown="0" showInputMessage="0" showErrorMessage="1" allowBlank="1" errorTitle="超出可填范围" error="更换费用比例可填范围为0%~100%，请核实后重新填写。" type="decimal" operator="between">
      <formula1>0</formula1>
      <formula2>1</formula2>
    </dataValidation>
  </dataValidations>
  <pageMargins left="0.75" right="0.75" top="1" bottom="1" header="0.5" footer="0.5"/>
  <headerFooter>
    <oddHeader/>
    <oddFooter>&amp;L绿电直连经济测算 v4.0&amp;R介子九维 JIEZIJIUWEI · 版权所有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0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标量（引擎口径 2026-07；勿改）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</row>
    <row r="2">
      <c r="A2" s="5" t="inlineStr">
        <is>
          <t>gen_avail</t>
        </is>
      </c>
      <c r="B2" s="5">
        <f>(_z35wsg*_zix1lp+_z4kl0k*_z98gva)*0.1</f>
        <v/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</row>
    <row r="3">
      <c r="A3" s="5" t="inlineStr">
        <is>
          <t>gen_net</t>
        </is>
      </c>
      <c r="B3" s="5">
        <f>_zstij9*(1-_zvtsqd)</f>
        <v/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</row>
    <row r="4">
      <c r="A4" s="5" t="inlineStr">
        <is>
          <t>self_use</t>
        </is>
      </c>
      <c r="B4" s="5">
        <f>IF((_zkrpcw="离网型"),MIN(_z6mxd8,_zs8nv3,_zftf5w),MIN(_z6mxd8,_zs8nv3))</f>
        <v/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</row>
    <row r="5">
      <c r="A5" s="5" t="inlineStr">
        <is>
          <t>export</t>
        </is>
      </c>
      <c r="B5" s="5">
        <f>IF((_zkrpcw="离网型"),0,MAX(_zs8nv3-_zt11ik,0))</f>
        <v/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</row>
    <row r="6">
      <c r="A6" s="5" t="inlineStr">
        <is>
          <t>downstream</t>
        </is>
      </c>
      <c r="B6" s="5">
        <f>IF((_zkrpcw="离网型"),0,MAX(_zftf5w-_zt11ik,0))</f>
        <v/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</row>
    <row r="7">
      <c r="A7" s="5" t="inlineStr">
        <is>
          <t>ratio_self_gen</t>
        </is>
      </c>
      <c r="B7" s="5">
        <f>IF(_zstij9&gt;0,_zt11ik/_zstij9,0)</f>
        <v/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</row>
    <row r="8">
      <c r="A8" s="5" t="inlineStr">
        <is>
          <t>ratio_self_load</t>
        </is>
      </c>
      <c r="B8" s="5">
        <f>IF(_zftf5w&gt;0,_zt11ik/_zftf5w,0)</f>
        <v/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</row>
    <row r="9">
      <c r="A9" s="5" t="inlineStr">
        <is>
          <t>ratio_export_gen</t>
        </is>
      </c>
      <c r="B9" s="5">
        <f>IF(_zstij9&gt;0,_z5gr99/_zstij9,0)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</row>
    <row r="10">
      <c r="A10" s="5" t="inlineStr">
        <is>
          <t>base_cap_fee</t>
        </is>
      </c>
      <c r="B10" s="5">
        <f>IF((_z3xkci="按需量"),_zx32ce*_zzoaus*12,_zksy9m*_zbhssj*12)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</row>
    <row r="11">
      <c r="A11" s="5" t="inlineStr">
        <is>
          <t>td_fee_cap</t>
        </is>
      </c>
      <c r="B11" s="5">
        <f>IF((_zkrpcw="离网型"),0,_zm650r/10000)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</row>
    <row r="12">
      <c r="A12" s="5" t="inlineStr">
        <is>
          <t>td_fee_energy</t>
        </is>
      </c>
      <c r="B12" s="5">
        <f>IF((_zkrpcw="离网型"),0,IF((_zlj03i="单一容量制"),_zp8xhg*_z3m5k2*730*12*_zbhssj/10000,_zp8xhg*(_zsbxps+_zt11ik)))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</row>
    <row r="13">
      <c r="A13" s="5" t="inlineStr">
        <is>
          <t>td_fee</t>
        </is>
      </c>
      <c r="B13" s="5">
        <f>_zektcz+_zdmffp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</row>
    <row r="14">
      <c r="A14" s="5" t="inlineStr">
        <is>
          <t>sys_fee</t>
        </is>
      </c>
      <c r="B14" s="5">
        <f>IF((_zkrpcw="离网型"),0,_z5ctcx*_zsbxps)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</row>
    <row r="15">
      <c r="A15" s="5" t="inlineStr">
        <is>
          <t>loss_fee</t>
        </is>
      </c>
      <c r="B15" s="5">
        <f>IF((_zkrpcw="离网型"),0,_zysee0*_zsbxps)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</row>
    <row r="16">
      <c r="A16" s="5" t="inlineStr">
        <is>
          <t>cross_fee</t>
        </is>
      </c>
      <c r="B16" s="5">
        <f>IF((_zkrpcw="离网型"),0,_zw04od*_zsbxps)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</row>
    <row r="17">
      <c r="A17" s="5" t="inlineStr">
        <is>
          <t>fund_base</t>
        </is>
      </c>
      <c r="B17" s="5">
        <f>IF((_zkrpcw="离网型"),_zt11ik,_zsbxps+IF((_zcshgi="下网+自用"),_zt11ik,0))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</row>
    <row r="18">
      <c r="A18" s="5" t="inlineStr">
        <is>
          <t>fund_fee</t>
        </is>
      </c>
      <c r="B18" s="5">
        <f>_z78i0e*_ztkj9g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</row>
    <row r="19">
      <c r="A19" s="5" t="inlineStr">
        <is>
          <t>cost_direct</t>
        </is>
      </c>
      <c r="B19" s="5">
        <f>_zk8d4f*_zt11ik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</row>
    <row r="20">
      <c r="A20" s="5" t="inlineStr">
        <is>
          <t>cost_downstream</t>
        </is>
      </c>
      <c r="B20" s="5">
        <f>_zhw65s*_zsbxps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</row>
    <row r="21">
      <c r="A21" s="5" t="inlineStr">
        <is>
          <t>user_total</t>
        </is>
      </c>
      <c r="B21" s="5">
        <f>_zqhyli+_za7fy7+_z928ab+_zqnyts+_z9r4dl+_ze6p1m+_zpzqxb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</row>
    <row r="22">
      <c r="A22" s="5" t="inlineStr">
        <is>
          <t>user_avg_price</t>
        </is>
      </c>
      <c r="B22" s="5">
        <f>IF(_zftf5w&gt;0,_zvy62p/_zftf5w,0)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</row>
    <row r="23">
      <c r="A23" s="5" t="inlineStr">
        <is>
          <t>baseline</t>
        </is>
      </c>
      <c r="B23" s="5">
        <f>_zf2rqb*_zftf5w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</row>
    <row r="24">
      <c r="A24" s="5" t="inlineStr">
        <is>
          <t>saving</t>
        </is>
      </c>
      <c r="B24" s="5">
        <f>_zfzfsr-_zvy62p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</row>
    <row r="25">
      <c r="A25" s="5" t="inlineStr">
        <is>
          <t>saving_rate</t>
        </is>
      </c>
      <c r="B25" s="5">
        <f>IF(_zfzfsr&gt;0,_zmorcm/_zfzfsr,0)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</row>
    <row r="26">
      <c r="A26" s="5" t="inlineStr">
        <is>
          <t>green_avoid</t>
        </is>
      </c>
      <c r="B26" s="5">
        <f>_z8d2zq*_zt11ik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</row>
    <row r="27">
      <c r="A27" s="5" t="inlineStr">
        <is>
          <t>capex_pv</t>
        </is>
      </c>
      <c r="B27" s="5">
        <f>_z35wsg*_zzvbgr*100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</row>
    <row r="28">
      <c r="A28" s="5" t="inlineStr">
        <is>
          <t>capex_wind</t>
        </is>
      </c>
      <c r="B28" s="5">
        <f>_z4kl0k*_zzl39o*100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</row>
    <row r="29">
      <c r="A29" s="5" t="inlineStr">
        <is>
          <t>capex_storage</t>
        </is>
      </c>
      <c r="B29" s="5">
        <f>_zjttpb*_zm9z4k*100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</row>
    <row r="30">
      <c r="A30" s="5" t="inlineStr">
        <is>
          <t>depreciable_capex</t>
        </is>
      </c>
      <c r="B30" s="5">
        <f>_zkh06o+_z517d3+_z67r2o+_zbf04s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</row>
    <row r="31">
      <c r="A31" s="5" t="inlineStr">
        <is>
          <t>capex_total</t>
        </is>
      </c>
      <c r="B31" s="5">
        <f>_zjqqhp+_z5sfpo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</row>
    <row r="32">
      <c r="A32" s="5" t="inlineStr">
        <is>
          <t>idc_denom</t>
        </is>
      </c>
      <c r="B32" s="5">
        <f>1+_z1v75m*_zyywx7/2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</row>
    <row r="33">
      <c r="A33" s="5" t="inlineStr">
        <is>
          <t>idc_qualifying_total</t>
        </is>
      </c>
      <c r="B33" s="5">
        <f>_zjqqhp*(1+_zyywx7/2)/_z3lk4m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</row>
    <row r="34">
      <c r="A34" s="5" t="inlineStr">
        <is>
          <t>construction_interest</t>
        </is>
      </c>
      <c r="B34" s="5">
        <f>_zwp6v3-_zjqqhp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</row>
    <row r="35">
      <c r="A35" s="5" t="inlineStr">
        <is>
          <t>capex_total_with_idc</t>
        </is>
      </c>
      <c r="B35" s="5">
        <f>_z1tt59+_zhc22k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</row>
    <row r="36">
      <c r="A36" s="5" t="inlineStr">
        <is>
          <t>holiday_share</t>
        </is>
      </c>
      <c r="B36" s="5">
        <f>IF(_z1tt59&gt;0,(_zkh06o+_z517d3)/_z1tt59,0)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</row>
    <row r="37">
      <c r="A37" s="5" t="inlineStr">
        <is>
          <t>n_years</t>
        </is>
      </c>
      <c r="B37" s="5">
        <f>ROUND(_z7fj0w,0)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</row>
    <row r="38">
      <c r="A38" s="5" t="inlineStr">
        <is>
          <t>equity</t>
        </is>
      </c>
      <c r="B38" s="5">
        <f>_z32w4e*_z1v75m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</row>
    <row r="39">
      <c r="A39" s="5" t="inlineStr">
        <is>
          <t>loan</t>
        </is>
      </c>
      <c r="B39" s="5">
        <f>_z32w4e-_zn0hoh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</row>
    <row r="40">
      <c r="A40" s="5" t="inlineStr">
        <is>
          <t>loan_years_r</t>
        </is>
      </c>
      <c r="B40" s="5">
        <f>ROUND(_z0ek84,0)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</row>
    <row r="41">
      <c r="A41" s="5" t="inlineStr">
        <is>
          <t>pay</t>
        </is>
      </c>
      <c r="B41" s="5">
        <f>IF(_zyywx7=0,_zmqr32/_z2al7i,_zmqr32*_zyywx7/(1-(1+_zyywx7)^-_z2al7i))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</row>
    <row r="42">
      <c r="A42" s="5" t="inlineStr">
        <is>
          <t>capex_net_all</t>
        </is>
      </c>
      <c r="B42" s="5">
        <f>_zjqqhp*(1-_zpnfsf)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</row>
    <row r="43">
      <c r="A43" s="5" t="inlineStr">
        <is>
          <t>capex_net_eq</t>
        </is>
      </c>
      <c r="B43" s="5">
        <f>_z2nx0n+_zhc22k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</row>
    <row r="44">
      <c r="A44" s="5" t="inlineStr">
        <is>
          <t>land_input_vat_capped</t>
        </is>
      </c>
      <c r="B44" s="5">
        <f>MIN(_zno06c,_z5sfpo*0.09/1.09)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</row>
    <row r="45">
      <c r="A45" s="5" t="inlineStr">
        <is>
          <t>vat_pool0</t>
        </is>
      </c>
      <c r="B45" s="5">
        <f>_zjqqhp*_zpnfsf+_zf6jpb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</row>
    <row r="46">
      <c r="A46" s="5" t="inlineStr">
        <is>
          <t>dep_base_all</t>
        </is>
      </c>
      <c r="B46" s="5">
        <f>_z2nx0n*(1-_z52v2x)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</row>
    <row r="47">
      <c r="A47" s="5" t="inlineStr">
        <is>
          <t>dep_base_eq</t>
        </is>
      </c>
      <c r="B47" s="5">
        <f>_z6o34p*(1-_z52v2x)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</row>
    <row r="48">
      <c r="A48" s="5" t="inlineStr">
        <is>
          <t>dep_years_tax</t>
        </is>
      </c>
      <c r="B48" s="5">
        <f>ROUND(_zqudm6,0)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</row>
    <row r="49">
      <c r="A49" s="5" t="inlineStr">
        <is>
          <t>dep_years_eff</t>
        </is>
      </c>
      <c r="B49" s="5">
        <f>MIN(_zk7d33,_zx5hja)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</row>
    <row r="50">
      <c r="A50" s="5" t="inlineStr">
        <is>
          <t>dep_annual_all</t>
        </is>
      </c>
      <c r="B50" s="5">
        <f>_z9qfry/_zk7d33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</row>
    <row r="51">
      <c r="A51" s="5" t="inlineStr">
        <is>
          <t>dep_annual_eq</t>
        </is>
      </c>
      <c r="B51" s="5">
        <f>_zsp8uj/_zk7d33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</row>
    <row r="52">
      <c r="A52" s="5" t="inlineStr">
        <is>
          <t>land_tax_basis_all</t>
        </is>
      </c>
      <c r="B52" s="5">
        <f>MAX(0,_z5sfpo-_zf6jpb)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</row>
    <row r="53">
      <c r="A53" s="5" t="inlineStr">
        <is>
          <t>land_tax_basis_eq</t>
        </is>
      </c>
      <c r="B53" s="5">
        <f>_zfraqw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</row>
    <row r="54">
      <c r="A54" s="5" t="inlineStr">
        <is>
          <t>land_amort_years_tax</t>
        </is>
      </c>
      <c r="B54" s="5">
        <f>ROUND(_z7ukau,0)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</row>
    <row r="55">
      <c r="A55" s="5" t="inlineStr">
        <is>
          <t>land_amort_years</t>
        </is>
      </c>
      <c r="B55" s="5">
        <f>MIN(_zvqyde,_zx5hja)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</row>
    <row r="56">
      <c r="A56" s="5" t="inlineStr">
        <is>
          <t>land_amort_annual</t>
        </is>
      </c>
      <c r="B56" s="5">
        <f>IF(AND(_z5sfpo&gt;0,_zvqyde&gt;0),_zfraqw/_zvqyde,0)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</row>
    <row r="57">
      <c r="A57" s="5" t="inlineStr">
        <is>
          <t>opex</t>
        </is>
      </c>
      <c r="B57" s="5">
        <f>_zjqqhp*(_zia8ld+_z5jv12)+_zl8371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</row>
    <row r="58">
      <c r="A58" s="5" t="inlineStr">
        <is>
          <t>salvage_value_all</t>
        </is>
      </c>
      <c r="B58" s="5">
        <f>_z2nx0n*_z52v2x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</row>
    <row r="59">
      <c r="A59" s="5" t="inlineStr">
        <is>
          <t>salvage_value_eq</t>
        </is>
      </c>
      <c r="B59" s="5">
        <f>_z6o34p*_z52v2x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</row>
    <row r="60">
      <c r="A60" s="5" t="inlineStr">
        <is>
          <t>terminal_value_all</t>
        </is>
      </c>
      <c r="B60" s="5">
        <f>_z9itej+_z9qfry*MAX(0,_zk7d33-_zx5hja)/_zk7d33+_ze4vc7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</row>
    <row r="61">
      <c r="A61" s="5" t="inlineStr">
        <is>
          <t>terminal_value_eq</t>
        </is>
      </c>
      <c r="B61" s="5">
        <f>_znvyxf+_zsp8uj*MAX(0,_zk7d33-_zx5hja)/_zk7d33+_ze4vc7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</row>
    <row r="62">
      <c r="A62" s="5" t="inlineStr">
        <is>
          <t>replace_year_r</t>
        </is>
      </c>
      <c r="B62" s="5">
        <f>ROUND(_ziqmyk,0)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</row>
    <row r="65">
      <c r="A65" s="5" t="inlineStr">
        <is>
          <t>年份</t>
        </is>
      </c>
      <c r="B65" s="5" t="inlineStr">
        <is>
          <t>运营期内</t>
        </is>
      </c>
      <c r="C65" s="5" t="inlineStr">
        <is>
          <t>衰减系数</t>
        </is>
      </c>
      <c r="D65" s="5" t="inlineStr">
        <is>
          <t>自用电量</t>
        </is>
      </c>
      <c r="E65" s="5" t="inlineStr">
        <is>
          <t>上网电量</t>
        </is>
      </c>
      <c r="F65" s="5" t="inlineStr">
        <is>
          <t>含税收入</t>
        </is>
      </c>
      <c r="G65" s="5" t="inlineStr">
        <is>
          <t>不含税收入</t>
        </is>
      </c>
      <c r="H65" s="5" t="inlineStr">
        <is>
          <t>销项税</t>
        </is>
      </c>
      <c r="I65" s="5" t="inlineStr">
        <is>
          <t>更换支出</t>
        </is>
      </c>
      <c r="J65" s="5" t="inlineStr">
        <is>
          <t>更换进项税</t>
        </is>
      </c>
      <c r="K65" s="5" t="inlineStr">
        <is>
          <t>更换支出(不含税)</t>
        </is>
      </c>
      <c r="L65" s="5" t="inlineStr">
        <is>
          <t>进项池期初</t>
        </is>
      </c>
      <c r="M65" s="5" t="inlineStr">
        <is>
          <t>实缴增值税</t>
        </is>
      </c>
      <c r="N65" s="5" t="inlineStr">
        <is>
          <t>进项池期末</t>
        </is>
      </c>
      <c r="O65" s="5" t="inlineStr">
        <is>
          <t>附加税费</t>
        </is>
      </c>
      <c r="P65" s="5" t="inlineStr">
        <is>
          <t>期初贷款余额</t>
        </is>
      </c>
      <c r="Q65" s="5" t="inlineStr">
        <is>
          <t>利息</t>
        </is>
      </c>
      <c r="R65" s="5" t="inlineStr">
        <is>
          <t>还本付息</t>
        </is>
      </c>
      <c r="S65" s="5" t="inlineStr">
        <is>
          <t>还本</t>
        </is>
      </c>
      <c r="T65" s="5" t="inlineStr">
        <is>
          <t>期末贷款余额</t>
        </is>
      </c>
      <c r="U65" s="5" t="inlineStr">
        <is>
          <t>折旧</t>
        </is>
      </c>
      <c r="V65" s="5" t="inlineStr">
        <is>
          <t>折旧·资本金</t>
        </is>
      </c>
      <c r="W65" s="5" t="inlineStr">
        <is>
          <t>土地摊销</t>
        </is>
      </c>
      <c r="X65" s="5" t="inlineStr">
        <is>
          <t>免减系数</t>
        </is>
      </c>
      <c r="Y65" s="5" t="inlineStr">
        <is>
          <t>有效税率系数</t>
        </is>
      </c>
      <c r="Z65" s="5" t="inlineStr">
        <is>
          <t>EBT全投资</t>
        </is>
      </c>
      <c r="AA65" s="5" t="inlineStr">
        <is>
          <t>亏损池A·1年</t>
        </is>
      </c>
      <c r="AB65" s="5" t="inlineStr">
        <is>
          <t>亏损池A·2年</t>
        </is>
      </c>
      <c r="AC65" s="5" t="inlineStr">
        <is>
          <t>亏损池A·3年</t>
        </is>
      </c>
      <c r="AD65" s="5" t="inlineStr">
        <is>
          <t>亏损池A·4年</t>
        </is>
      </c>
      <c r="AE65" s="5" t="inlineStr">
        <is>
          <t>亏损池A·5年</t>
        </is>
      </c>
      <c r="AF65" s="5" t="inlineStr">
        <is>
          <t>亏损池A·当年弥补</t>
        </is>
      </c>
      <c r="AG65" s="5" t="inlineStr">
        <is>
          <t>应税所得·全投资</t>
        </is>
      </c>
      <c r="AH65" s="5" t="inlineStr">
        <is>
          <t>所得税·全投资</t>
        </is>
      </c>
      <c r="AI65" s="5" t="inlineStr">
        <is>
          <t>EBT资本金</t>
        </is>
      </c>
      <c r="AJ65" s="5" t="inlineStr">
        <is>
          <t>亏损池E·1年</t>
        </is>
      </c>
      <c r="AK65" s="5" t="inlineStr">
        <is>
          <t>亏损池E·2年</t>
        </is>
      </c>
      <c r="AL65" s="5" t="inlineStr">
        <is>
          <t>亏损池E·3年</t>
        </is>
      </c>
      <c r="AM65" s="5" t="inlineStr">
        <is>
          <t>亏损池E·4年</t>
        </is>
      </c>
      <c r="AN65" s="5" t="inlineStr">
        <is>
          <t>亏损池E·5年</t>
        </is>
      </c>
      <c r="AO65" s="5" t="inlineStr">
        <is>
          <t>亏损池E·当年弥补</t>
        </is>
      </c>
      <c r="AP65" s="5" t="inlineStr">
        <is>
          <t>应税所得·资本金</t>
        </is>
      </c>
      <c r="AQ65" s="5" t="inlineStr">
        <is>
          <t>所得税·资本金</t>
        </is>
      </c>
      <c r="AR65" s="5" t="inlineStr">
        <is>
          <t>期末回收</t>
        </is>
      </c>
      <c r="AS65" s="5" t="inlineStr">
        <is>
          <t>期末回收·资本金</t>
        </is>
      </c>
      <c r="AT65" s="5" t="inlineStr">
        <is>
          <t>税前全投资净现金流</t>
        </is>
      </c>
      <c r="AU65" s="5" t="inlineStr">
        <is>
          <t>税后全投资净现金流</t>
        </is>
      </c>
      <c r="AV65" s="5" t="inlineStr">
        <is>
          <t>资本金净现金流</t>
        </is>
      </c>
      <c r="AW65" s="5" t="inlineStr">
        <is>
          <t>累计税后</t>
        </is>
      </c>
      <c r="AX65" s="5" t="inlineStr">
        <is>
          <t>转正标志</t>
        </is>
      </c>
      <c r="AY65" s="5" t="inlineStr">
        <is>
          <t>折现税后</t>
        </is>
      </c>
      <c r="AZ65" s="5" t="inlineStr">
        <is>
          <t>累计折现</t>
        </is>
      </c>
      <c r="BA65" s="5" t="inlineStr">
        <is>
          <t>转正标志动态</t>
        </is>
      </c>
      <c r="BB65" s="5" t="inlineStr">
        <is>
          <t>实发电量衰减后</t>
        </is>
      </c>
      <c r="BC65" s="5" t="inlineStr">
        <is>
          <t>LCOE年成本</t>
        </is>
      </c>
      <c r="BD65" s="5" t="inlineStr">
        <is>
          <t>符号跟踪·税前</t>
        </is>
      </c>
      <c r="BE65" s="5" t="inlineStr">
        <is>
          <t>变号计数·税前</t>
        </is>
      </c>
      <c r="BF65" s="5" t="inlineStr">
        <is>
          <t>符号跟踪·税后</t>
        </is>
      </c>
      <c r="BG65" s="5" t="inlineStr">
        <is>
          <t>变号计数·税后</t>
        </is>
      </c>
      <c r="BH65" s="5" t="inlineStr">
        <is>
          <t>符号跟踪·资本金</t>
        </is>
      </c>
      <c r="BI65" s="5" t="inlineStr">
        <is>
          <t>变号计数·资本金</t>
        </is>
      </c>
    </row>
    <row r="66">
      <c r="A66" s="5" t="n">
        <v>0</v>
      </c>
      <c r="B66" s="5">
        <f>FALSE</f>
        <v/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>
        <f>_zh2s1v</f>
        <v/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>
        <f>_zmqr32</f>
        <v/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>
        <f>-_z1tt59</f>
        <v/>
      </c>
      <c r="AU66" s="5">
        <f>-_z1tt59</f>
        <v/>
      </c>
      <c r="AV66" s="5">
        <f>-_zn0hoh</f>
        <v/>
      </c>
      <c r="AW66" s="5">
        <f>AU66</f>
        <v/>
      </c>
      <c r="AX66" s="5" t="n">
        <v>0</v>
      </c>
      <c r="AY66" s="5">
        <f>AU66</f>
        <v/>
      </c>
      <c r="AZ66" s="5">
        <f>AY66</f>
        <v/>
      </c>
      <c r="BA66" s="5" t="n">
        <v>0</v>
      </c>
      <c r="BB66" s="5" t="n">
        <v>0</v>
      </c>
      <c r="BC66" s="5" t="n">
        <v>0</v>
      </c>
      <c r="BD66" s="5">
        <f>SIGN(AT66)</f>
        <v/>
      </c>
      <c r="BE66" s="5" t="n">
        <v>0</v>
      </c>
      <c r="BF66" s="5">
        <f>SIGN(AU66)</f>
        <v/>
      </c>
      <c r="BG66" s="5" t="n">
        <v>0</v>
      </c>
      <c r="BH66" s="5">
        <f>SIGN(AV66)</f>
        <v/>
      </c>
      <c r="BI66" s="5" t="n">
        <v>0</v>
      </c>
    </row>
    <row r="67">
      <c r="A67" s="5" t="n">
        <v>1</v>
      </c>
      <c r="B67" s="5">
        <f>AND(A67&gt;=1,A67&lt;=_zx5hja)</f>
        <v/>
      </c>
      <c r="C67" s="5">
        <f>IF(B67,(1-_zg5443)^(A67-1),0)</f>
        <v/>
      </c>
      <c r="D67" s="5">
        <f>_zt11ik*C67</f>
        <v/>
      </c>
      <c r="E67" s="5">
        <f>_z5gr99*C67</f>
        <v/>
      </c>
      <c r="F67" s="5">
        <f>_zk8d4f*D67+_zsw7bq*E67</f>
        <v/>
      </c>
      <c r="G67" s="5">
        <f>F67/(1+0.13)</f>
        <v/>
      </c>
      <c r="H67" s="5">
        <f>F67-G67</f>
        <v/>
      </c>
      <c r="I67" s="5">
        <f>IF(AND(B67,A67=_ztfkfy),_z67r2o*_z0m7ys,0)</f>
        <v/>
      </c>
      <c r="J67" s="5">
        <f>I67*0.13/(1+0.13)</f>
        <v/>
      </c>
      <c r="K67" s="5">
        <f>I67-J67</f>
        <v/>
      </c>
      <c r="L67" s="5">
        <f>N66+J67</f>
        <v/>
      </c>
      <c r="M67" s="5">
        <f>MAX(0,H67-L67)</f>
        <v/>
      </c>
      <c r="N67" s="5">
        <f>MAX(0,L67-H67)</f>
        <v/>
      </c>
      <c r="O67" s="5">
        <f>M67*0.12</f>
        <v/>
      </c>
      <c r="P67" s="5">
        <f>T66</f>
        <v/>
      </c>
      <c r="Q67" s="5">
        <f>IF(AND(B67,A67&lt;=_z2al7i),P67*_zyywx7,0)</f>
        <v/>
      </c>
      <c r="R67" s="5">
        <f>IF(AND(B67,A67&lt;=_z2al7i),_zgsfrl,0)</f>
        <v/>
      </c>
      <c r="S67" s="5">
        <f>R67-Q67</f>
        <v/>
      </c>
      <c r="T67" s="5">
        <f>MAX(0,P67-S67)</f>
        <v/>
      </c>
      <c r="U67" s="5">
        <f>IF(AND(B67,A67&lt;=_zupe8l),_zb0m7l,0)</f>
        <v/>
      </c>
      <c r="V67" s="5">
        <f>IF(AND(B67,A67&lt;=_zupe8l),_zm1wss,0)</f>
        <v/>
      </c>
      <c r="W67" s="5">
        <f>IF(AND(B67,A67&lt;=_zhf3a4),_zdqt32,0)</f>
        <v/>
      </c>
      <c r="X67" s="5">
        <f>IF((_zhsdpd="是"),IF(A67&lt;=3,0,IF(A67&lt;=6,0.5,1)),1)</f>
        <v/>
      </c>
      <c r="Y67" s="5">
        <f>_zrzkf6*X67+(1-_zrzkf6)</f>
        <v/>
      </c>
      <c r="Z67" s="5">
        <f>IF(B67,G67-_zkfhzg-O67-U67-W67-K67,0)</f>
        <v/>
      </c>
      <c r="AA67" s="5">
        <f>MAX(0,-Z66)</f>
        <v/>
      </c>
      <c r="AB67" s="5">
        <f>MIN(AA66,MAX(0,(AE66+AD66+AC66+AB66+AA66)-AF66))</f>
        <v/>
      </c>
      <c r="AC67" s="5">
        <f>MIN(AB66,MAX(0,(AE66+AD66+AC66+AB66)-AF66))</f>
        <v/>
      </c>
      <c r="AD67" s="5">
        <f>MIN(AC66,MAX(0,(AE66+AD66+AC66)-AF66))</f>
        <v/>
      </c>
      <c r="AE67" s="5">
        <f>MIN(AD66,MAX(0,(AE66+AD66)-AF66))</f>
        <v/>
      </c>
      <c r="AF67" s="5">
        <f>MIN(MAX(Z67,0),AA67+AB67+AC67+AD67+AE67)</f>
        <v/>
      </c>
      <c r="AG67" s="5">
        <f>MAX(Z67,0)-AF67</f>
        <v/>
      </c>
      <c r="AH67" s="5">
        <f>AG67*_zs8hxw*Y67</f>
        <v/>
      </c>
      <c r="AI67" s="5">
        <f>IF(B67,G67-_zkfhzg-O67-V67-W67-K67-Q67,0)</f>
        <v/>
      </c>
      <c r="AJ67" s="5">
        <f>MAX(0,-AI66)</f>
        <v/>
      </c>
      <c r="AK67" s="5">
        <f>MIN(AJ66,MAX(0,(AN66+AM66+AL66+AK66+AJ66)-AO66))</f>
        <v/>
      </c>
      <c r="AL67" s="5">
        <f>MIN(AK66,MAX(0,(AN66+AM66+AL66+AK66)-AO66))</f>
        <v/>
      </c>
      <c r="AM67" s="5">
        <f>MIN(AL66,MAX(0,(AN66+AM66+AL66)-AO66))</f>
        <v/>
      </c>
      <c r="AN67" s="5">
        <f>MIN(AM66,MAX(0,(AN66+AM66)-AO66))</f>
        <v/>
      </c>
      <c r="AO67" s="5">
        <f>MIN(MAX(AI67,0),AJ67+AK67+AL67+AM67+AN67)</f>
        <v/>
      </c>
      <c r="AP67" s="5">
        <f>MAX(AI67,0)-AO67</f>
        <v/>
      </c>
      <c r="AQ67" s="5">
        <f>AP67*_zs8hxw*Y67</f>
        <v/>
      </c>
      <c r="AR67" s="5">
        <f>IF(A67=_zx5hja,_zlajvq,0)</f>
        <v/>
      </c>
      <c r="AS67" s="5">
        <f>IF(A67=_zx5hja,_zyh8pc,0)</f>
        <v/>
      </c>
      <c r="AT67" s="5">
        <f>IF(B67,F67-_zkfhzg-M67-O67-I67+AR67,0)</f>
        <v/>
      </c>
      <c r="AU67" s="5">
        <f>AT67-AH67</f>
        <v/>
      </c>
      <c r="AV67" s="5">
        <f>IF(B67,F67-_zkfhzg-M67-O67-I67-R67-AQ67+AS67-IF(AND(A67=_zx5hja,_z2al7i&gt;_zx5hja),T67,0),0)</f>
        <v/>
      </c>
      <c r="AW67" s="5">
        <f>AW66+AU67</f>
        <v/>
      </c>
      <c r="AX67" s="5">
        <f>IF(AND(AW66&lt;0,AW67&gt;=0,AU67&gt;0),1,0)</f>
        <v/>
      </c>
      <c r="AY67" s="5">
        <f>AU67/(1+_zawtbl)^A67</f>
        <v/>
      </c>
      <c r="AZ67" s="5">
        <f>AZ66+AY67</f>
        <v/>
      </c>
      <c r="BA67" s="5">
        <f>IF(AND(AZ66&lt;0,AZ67&gt;=0,AY67&gt;0),1,0)</f>
        <v/>
      </c>
      <c r="BB67" s="5">
        <f>_zs8nv3*C67</f>
        <v/>
      </c>
      <c r="BC67" s="5">
        <f>IF(B67,_zkfhzg+K67-AR67,0)</f>
        <v/>
      </c>
      <c r="BD67" s="5">
        <f>IF(AT67=0,BD66,SIGN(AT67))</f>
        <v/>
      </c>
      <c r="BE67" s="5">
        <f>BE66+IF(OR(AT67=0,BD66=0),0,IF(SIGN(AT67)&lt;&gt;BD66,1,0))</f>
        <v/>
      </c>
      <c r="BF67" s="5">
        <f>IF(AU67=0,BF66,SIGN(AU67))</f>
        <v/>
      </c>
      <c r="BG67" s="5">
        <f>BG66+IF(OR(AU67=0,BF66=0),0,IF(SIGN(AU67)&lt;&gt;BF66,1,0))</f>
        <v/>
      </c>
      <c r="BH67" s="5">
        <f>IF(AV67=0,BH66,SIGN(AV67))</f>
        <v/>
      </c>
      <c r="BI67" s="5">
        <f>BI66+IF(OR(AV67=0,BH66=0),0,IF(SIGN(AV67)&lt;&gt;BH66,1,0))</f>
        <v/>
      </c>
    </row>
    <row r="68">
      <c r="A68" s="5" t="n">
        <v>2</v>
      </c>
      <c r="B68" s="5">
        <f>AND(A68&gt;=1,A68&lt;=_zx5hja)</f>
        <v/>
      </c>
      <c r="C68" s="5">
        <f>IF(B68,(1-_zg5443)^(A68-1),0)</f>
        <v/>
      </c>
      <c r="D68" s="5">
        <f>_zt11ik*C68</f>
        <v/>
      </c>
      <c r="E68" s="5">
        <f>_z5gr99*C68</f>
        <v/>
      </c>
      <c r="F68" s="5">
        <f>_zk8d4f*D68+_zsw7bq*E68</f>
        <v/>
      </c>
      <c r="G68" s="5">
        <f>F68/(1+0.13)</f>
        <v/>
      </c>
      <c r="H68" s="5">
        <f>F68-G68</f>
        <v/>
      </c>
      <c r="I68" s="5">
        <f>IF(AND(B68,A68=_ztfkfy),_z67r2o*_z0m7ys,0)</f>
        <v/>
      </c>
      <c r="J68" s="5">
        <f>I68*0.13/(1+0.13)</f>
        <v/>
      </c>
      <c r="K68" s="5">
        <f>I68-J68</f>
        <v/>
      </c>
      <c r="L68" s="5">
        <f>N67+J68</f>
        <v/>
      </c>
      <c r="M68" s="5">
        <f>MAX(0,H68-L68)</f>
        <v/>
      </c>
      <c r="N68" s="5">
        <f>MAX(0,L68-H68)</f>
        <v/>
      </c>
      <c r="O68" s="5">
        <f>M68*0.12</f>
        <v/>
      </c>
      <c r="P68" s="5">
        <f>T67</f>
        <v/>
      </c>
      <c r="Q68" s="5">
        <f>IF(AND(B68,A68&lt;=_z2al7i),P68*_zyywx7,0)</f>
        <v/>
      </c>
      <c r="R68" s="5">
        <f>IF(AND(B68,A68&lt;=_z2al7i),_zgsfrl,0)</f>
        <v/>
      </c>
      <c r="S68" s="5">
        <f>R68-Q68</f>
        <v/>
      </c>
      <c r="T68" s="5">
        <f>MAX(0,P68-S68)</f>
        <v/>
      </c>
      <c r="U68" s="5">
        <f>IF(AND(B68,A68&lt;=_zupe8l),_zb0m7l,0)</f>
        <v/>
      </c>
      <c r="V68" s="5">
        <f>IF(AND(B68,A68&lt;=_zupe8l),_zm1wss,0)</f>
        <v/>
      </c>
      <c r="W68" s="5">
        <f>IF(AND(B68,A68&lt;=_zhf3a4),_zdqt32,0)</f>
        <v/>
      </c>
      <c r="X68" s="5">
        <f>IF((_zhsdpd="是"),IF(A68&lt;=3,0,IF(A68&lt;=6,0.5,1)),1)</f>
        <v/>
      </c>
      <c r="Y68" s="5">
        <f>_zrzkf6*X68+(1-_zrzkf6)</f>
        <v/>
      </c>
      <c r="Z68" s="5">
        <f>IF(B68,G68-_zkfhzg-O68-U68-W68-K68,0)</f>
        <v/>
      </c>
      <c r="AA68" s="5">
        <f>MAX(0,-Z67)</f>
        <v/>
      </c>
      <c r="AB68" s="5">
        <f>MIN(AA67,MAX(0,(AE67+AD67+AC67+AB67+AA67)-AF67))</f>
        <v/>
      </c>
      <c r="AC68" s="5">
        <f>MIN(AB67,MAX(0,(AE67+AD67+AC67+AB67)-AF67))</f>
        <v/>
      </c>
      <c r="AD68" s="5">
        <f>MIN(AC67,MAX(0,(AE67+AD67+AC67)-AF67))</f>
        <v/>
      </c>
      <c r="AE68" s="5">
        <f>MIN(AD67,MAX(0,(AE67+AD67)-AF67))</f>
        <v/>
      </c>
      <c r="AF68" s="5">
        <f>MIN(MAX(Z68,0),AA68+AB68+AC68+AD68+AE68)</f>
        <v/>
      </c>
      <c r="AG68" s="5">
        <f>MAX(Z68,0)-AF68</f>
        <v/>
      </c>
      <c r="AH68" s="5">
        <f>AG68*_zs8hxw*Y68</f>
        <v/>
      </c>
      <c r="AI68" s="5">
        <f>IF(B68,G68-_zkfhzg-O68-V68-W68-K68-Q68,0)</f>
        <v/>
      </c>
      <c r="AJ68" s="5">
        <f>MAX(0,-AI67)</f>
        <v/>
      </c>
      <c r="AK68" s="5">
        <f>MIN(AJ67,MAX(0,(AN67+AM67+AL67+AK67+AJ67)-AO67))</f>
        <v/>
      </c>
      <c r="AL68" s="5">
        <f>MIN(AK67,MAX(0,(AN67+AM67+AL67+AK67)-AO67))</f>
        <v/>
      </c>
      <c r="AM68" s="5">
        <f>MIN(AL67,MAX(0,(AN67+AM67+AL67)-AO67))</f>
        <v/>
      </c>
      <c r="AN68" s="5">
        <f>MIN(AM67,MAX(0,(AN67+AM67)-AO67))</f>
        <v/>
      </c>
      <c r="AO68" s="5">
        <f>MIN(MAX(AI68,0),AJ68+AK68+AL68+AM68+AN68)</f>
        <v/>
      </c>
      <c r="AP68" s="5">
        <f>MAX(AI68,0)-AO68</f>
        <v/>
      </c>
      <c r="AQ68" s="5">
        <f>AP68*_zs8hxw*Y68</f>
        <v/>
      </c>
      <c r="AR68" s="5">
        <f>IF(A68=_zx5hja,_zlajvq,0)</f>
        <v/>
      </c>
      <c r="AS68" s="5">
        <f>IF(A68=_zx5hja,_zyh8pc,0)</f>
        <v/>
      </c>
      <c r="AT68" s="5">
        <f>IF(B68,F68-_zkfhzg-M68-O68-I68+AR68,0)</f>
        <v/>
      </c>
      <c r="AU68" s="5">
        <f>AT68-AH68</f>
        <v/>
      </c>
      <c r="AV68" s="5">
        <f>IF(B68,F68-_zkfhzg-M68-O68-I68-R68-AQ68+AS68-IF(AND(A68=_zx5hja,_z2al7i&gt;_zx5hja),T68,0),0)</f>
        <v/>
      </c>
      <c r="AW68" s="5">
        <f>AW67+AU68</f>
        <v/>
      </c>
      <c r="AX68" s="5">
        <f>IF(AND(AW67&lt;0,AW68&gt;=0,AU68&gt;0),1,0)</f>
        <v/>
      </c>
      <c r="AY68" s="5">
        <f>AU68/(1+_zawtbl)^A68</f>
        <v/>
      </c>
      <c r="AZ68" s="5">
        <f>AZ67+AY68</f>
        <v/>
      </c>
      <c r="BA68" s="5">
        <f>IF(AND(AZ67&lt;0,AZ68&gt;=0,AY68&gt;0),1,0)</f>
        <v/>
      </c>
      <c r="BB68" s="5">
        <f>_zs8nv3*C68</f>
        <v/>
      </c>
      <c r="BC68" s="5">
        <f>IF(B68,_zkfhzg+K68-AR68,0)</f>
        <v/>
      </c>
      <c r="BD68" s="5">
        <f>IF(AT68=0,BD67,SIGN(AT68))</f>
        <v/>
      </c>
      <c r="BE68" s="5">
        <f>BE67+IF(OR(AT68=0,BD67=0),0,IF(SIGN(AT68)&lt;&gt;BD67,1,0))</f>
        <v/>
      </c>
      <c r="BF68" s="5">
        <f>IF(AU68=0,BF67,SIGN(AU68))</f>
        <v/>
      </c>
      <c r="BG68" s="5">
        <f>BG67+IF(OR(AU68=0,BF67=0),0,IF(SIGN(AU68)&lt;&gt;BF67,1,0))</f>
        <v/>
      </c>
      <c r="BH68" s="5">
        <f>IF(AV68=0,BH67,SIGN(AV68))</f>
        <v/>
      </c>
      <c r="BI68" s="5">
        <f>BI67+IF(OR(AV68=0,BH67=0),0,IF(SIGN(AV68)&lt;&gt;BH67,1,0))</f>
        <v/>
      </c>
    </row>
    <row r="69">
      <c r="A69" s="5" t="n">
        <v>3</v>
      </c>
      <c r="B69" s="5">
        <f>AND(A69&gt;=1,A69&lt;=_zx5hja)</f>
        <v/>
      </c>
      <c r="C69" s="5">
        <f>IF(B69,(1-_zg5443)^(A69-1),0)</f>
        <v/>
      </c>
      <c r="D69" s="5">
        <f>_zt11ik*C69</f>
        <v/>
      </c>
      <c r="E69" s="5">
        <f>_z5gr99*C69</f>
        <v/>
      </c>
      <c r="F69" s="5">
        <f>_zk8d4f*D69+_zsw7bq*E69</f>
        <v/>
      </c>
      <c r="G69" s="5">
        <f>F69/(1+0.13)</f>
        <v/>
      </c>
      <c r="H69" s="5">
        <f>F69-G69</f>
        <v/>
      </c>
      <c r="I69" s="5">
        <f>IF(AND(B69,A69=_ztfkfy),_z67r2o*_z0m7ys,0)</f>
        <v/>
      </c>
      <c r="J69" s="5">
        <f>I69*0.13/(1+0.13)</f>
        <v/>
      </c>
      <c r="K69" s="5">
        <f>I69-J69</f>
        <v/>
      </c>
      <c r="L69" s="5">
        <f>N68+J69</f>
        <v/>
      </c>
      <c r="M69" s="5">
        <f>MAX(0,H69-L69)</f>
        <v/>
      </c>
      <c r="N69" s="5">
        <f>MAX(0,L69-H69)</f>
        <v/>
      </c>
      <c r="O69" s="5">
        <f>M69*0.12</f>
        <v/>
      </c>
      <c r="P69" s="5">
        <f>T68</f>
        <v/>
      </c>
      <c r="Q69" s="5">
        <f>IF(AND(B69,A69&lt;=_z2al7i),P69*_zyywx7,0)</f>
        <v/>
      </c>
      <c r="R69" s="5">
        <f>IF(AND(B69,A69&lt;=_z2al7i),_zgsfrl,0)</f>
        <v/>
      </c>
      <c r="S69" s="5">
        <f>R69-Q69</f>
        <v/>
      </c>
      <c r="T69" s="5">
        <f>MAX(0,P69-S69)</f>
        <v/>
      </c>
      <c r="U69" s="5">
        <f>IF(AND(B69,A69&lt;=_zupe8l),_zb0m7l,0)</f>
        <v/>
      </c>
      <c r="V69" s="5">
        <f>IF(AND(B69,A69&lt;=_zupe8l),_zm1wss,0)</f>
        <v/>
      </c>
      <c r="W69" s="5">
        <f>IF(AND(B69,A69&lt;=_zhf3a4),_zdqt32,0)</f>
        <v/>
      </c>
      <c r="X69" s="5">
        <f>IF((_zhsdpd="是"),IF(A69&lt;=3,0,IF(A69&lt;=6,0.5,1)),1)</f>
        <v/>
      </c>
      <c r="Y69" s="5">
        <f>_zrzkf6*X69+(1-_zrzkf6)</f>
        <v/>
      </c>
      <c r="Z69" s="5">
        <f>IF(B69,G69-_zkfhzg-O69-U69-W69-K69,0)</f>
        <v/>
      </c>
      <c r="AA69" s="5">
        <f>MAX(0,-Z68)</f>
        <v/>
      </c>
      <c r="AB69" s="5">
        <f>MIN(AA68,MAX(0,(AE68+AD68+AC68+AB68+AA68)-AF68))</f>
        <v/>
      </c>
      <c r="AC69" s="5">
        <f>MIN(AB68,MAX(0,(AE68+AD68+AC68+AB68)-AF68))</f>
        <v/>
      </c>
      <c r="AD69" s="5">
        <f>MIN(AC68,MAX(0,(AE68+AD68+AC68)-AF68))</f>
        <v/>
      </c>
      <c r="AE69" s="5">
        <f>MIN(AD68,MAX(0,(AE68+AD68)-AF68))</f>
        <v/>
      </c>
      <c r="AF69" s="5">
        <f>MIN(MAX(Z69,0),AA69+AB69+AC69+AD69+AE69)</f>
        <v/>
      </c>
      <c r="AG69" s="5">
        <f>MAX(Z69,0)-AF69</f>
        <v/>
      </c>
      <c r="AH69" s="5">
        <f>AG69*_zs8hxw*Y69</f>
        <v/>
      </c>
      <c r="AI69" s="5">
        <f>IF(B69,G69-_zkfhzg-O69-V69-W69-K69-Q69,0)</f>
        <v/>
      </c>
      <c r="AJ69" s="5">
        <f>MAX(0,-AI68)</f>
        <v/>
      </c>
      <c r="AK69" s="5">
        <f>MIN(AJ68,MAX(0,(AN68+AM68+AL68+AK68+AJ68)-AO68))</f>
        <v/>
      </c>
      <c r="AL69" s="5">
        <f>MIN(AK68,MAX(0,(AN68+AM68+AL68+AK68)-AO68))</f>
        <v/>
      </c>
      <c r="AM69" s="5">
        <f>MIN(AL68,MAX(0,(AN68+AM68+AL68)-AO68))</f>
        <v/>
      </c>
      <c r="AN69" s="5">
        <f>MIN(AM68,MAX(0,(AN68+AM68)-AO68))</f>
        <v/>
      </c>
      <c r="AO69" s="5">
        <f>MIN(MAX(AI69,0),AJ69+AK69+AL69+AM69+AN69)</f>
        <v/>
      </c>
      <c r="AP69" s="5">
        <f>MAX(AI69,0)-AO69</f>
        <v/>
      </c>
      <c r="AQ69" s="5">
        <f>AP69*_zs8hxw*Y69</f>
        <v/>
      </c>
      <c r="AR69" s="5">
        <f>IF(A69=_zx5hja,_zlajvq,0)</f>
        <v/>
      </c>
      <c r="AS69" s="5">
        <f>IF(A69=_zx5hja,_zyh8pc,0)</f>
        <v/>
      </c>
      <c r="AT69" s="5">
        <f>IF(B69,F69-_zkfhzg-M69-O69-I69+AR69,0)</f>
        <v/>
      </c>
      <c r="AU69" s="5">
        <f>AT69-AH69</f>
        <v/>
      </c>
      <c r="AV69" s="5">
        <f>IF(B69,F69-_zkfhzg-M69-O69-I69-R69-AQ69+AS69-IF(AND(A69=_zx5hja,_z2al7i&gt;_zx5hja),T69,0),0)</f>
        <v/>
      </c>
      <c r="AW69" s="5">
        <f>AW68+AU69</f>
        <v/>
      </c>
      <c r="AX69" s="5">
        <f>IF(AND(AW68&lt;0,AW69&gt;=0,AU69&gt;0),1,0)</f>
        <v/>
      </c>
      <c r="AY69" s="5">
        <f>AU69/(1+_zawtbl)^A69</f>
        <v/>
      </c>
      <c r="AZ69" s="5">
        <f>AZ68+AY69</f>
        <v/>
      </c>
      <c r="BA69" s="5">
        <f>IF(AND(AZ68&lt;0,AZ69&gt;=0,AY69&gt;0),1,0)</f>
        <v/>
      </c>
      <c r="BB69" s="5">
        <f>_zs8nv3*C69</f>
        <v/>
      </c>
      <c r="BC69" s="5">
        <f>IF(B69,_zkfhzg+K69-AR69,0)</f>
        <v/>
      </c>
      <c r="BD69" s="5">
        <f>IF(AT69=0,BD68,SIGN(AT69))</f>
        <v/>
      </c>
      <c r="BE69" s="5">
        <f>BE68+IF(OR(AT69=0,BD68=0),0,IF(SIGN(AT69)&lt;&gt;BD68,1,0))</f>
        <v/>
      </c>
      <c r="BF69" s="5">
        <f>IF(AU69=0,BF68,SIGN(AU69))</f>
        <v/>
      </c>
      <c r="BG69" s="5">
        <f>BG68+IF(OR(AU69=0,BF68=0),0,IF(SIGN(AU69)&lt;&gt;BF68,1,0))</f>
        <v/>
      </c>
      <c r="BH69" s="5">
        <f>IF(AV69=0,BH68,SIGN(AV69))</f>
        <v/>
      </c>
      <c r="BI69" s="5">
        <f>BI68+IF(OR(AV69=0,BH68=0),0,IF(SIGN(AV69)&lt;&gt;BH68,1,0))</f>
        <v/>
      </c>
    </row>
    <row r="70">
      <c r="A70" s="5" t="n">
        <v>4</v>
      </c>
      <c r="B70" s="5">
        <f>AND(A70&gt;=1,A70&lt;=_zx5hja)</f>
        <v/>
      </c>
      <c r="C70" s="5">
        <f>IF(B70,(1-_zg5443)^(A70-1),0)</f>
        <v/>
      </c>
      <c r="D70" s="5">
        <f>_zt11ik*C70</f>
        <v/>
      </c>
      <c r="E70" s="5">
        <f>_z5gr99*C70</f>
        <v/>
      </c>
      <c r="F70" s="5">
        <f>_zk8d4f*D70+_zsw7bq*E70</f>
        <v/>
      </c>
      <c r="G70" s="5">
        <f>F70/(1+0.13)</f>
        <v/>
      </c>
      <c r="H70" s="5">
        <f>F70-G70</f>
        <v/>
      </c>
      <c r="I70" s="5">
        <f>IF(AND(B70,A70=_ztfkfy),_z67r2o*_z0m7ys,0)</f>
        <v/>
      </c>
      <c r="J70" s="5">
        <f>I70*0.13/(1+0.13)</f>
        <v/>
      </c>
      <c r="K70" s="5">
        <f>I70-J70</f>
        <v/>
      </c>
      <c r="L70" s="5">
        <f>N69+J70</f>
        <v/>
      </c>
      <c r="M70" s="5">
        <f>MAX(0,H70-L70)</f>
        <v/>
      </c>
      <c r="N70" s="5">
        <f>MAX(0,L70-H70)</f>
        <v/>
      </c>
      <c r="O70" s="5">
        <f>M70*0.12</f>
        <v/>
      </c>
      <c r="P70" s="5">
        <f>T69</f>
        <v/>
      </c>
      <c r="Q70" s="5">
        <f>IF(AND(B70,A70&lt;=_z2al7i),P70*_zyywx7,0)</f>
        <v/>
      </c>
      <c r="R70" s="5">
        <f>IF(AND(B70,A70&lt;=_z2al7i),_zgsfrl,0)</f>
        <v/>
      </c>
      <c r="S70" s="5">
        <f>R70-Q70</f>
        <v/>
      </c>
      <c r="T70" s="5">
        <f>MAX(0,P70-S70)</f>
        <v/>
      </c>
      <c r="U70" s="5">
        <f>IF(AND(B70,A70&lt;=_zupe8l),_zb0m7l,0)</f>
        <v/>
      </c>
      <c r="V70" s="5">
        <f>IF(AND(B70,A70&lt;=_zupe8l),_zm1wss,0)</f>
        <v/>
      </c>
      <c r="W70" s="5">
        <f>IF(AND(B70,A70&lt;=_zhf3a4),_zdqt32,0)</f>
        <v/>
      </c>
      <c r="X70" s="5">
        <f>IF((_zhsdpd="是"),IF(A70&lt;=3,0,IF(A70&lt;=6,0.5,1)),1)</f>
        <v/>
      </c>
      <c r="Y70" s="5">
        <f>_zrzkf6*X70+(1-_zrzkf6)</f>
        <v/>
      </c>
      <c r="Z70" s="5">
        <f>IF(B70,G70-_zkfhzg-O70-U70-W70-K70,0)</f>
        <v/>
      </c>
      <c r="AA70" s="5">
        <f>MAX(0,-Z69)</f>
        <v/>
      </c>
      <c r="AB70" s="5">
        <f>MIN(AA69,MAX(0,(AE69+AD69+AC69+AB69+AA69)-AF69))</f>
        <v/>
      </c>
      <c r="AC70" s="5">
        <f>MIN(AB69,MAX(0,(AE69+AD69+AC69+AB69)-AF69))</f>
        <v/>
      </c>
      <c r="AD70" s="5">
        <f>MIN(AC69,MAX(0,(AE69+AD69+AC69)-AF69))</f>
        <v/>
      </c>
      <c r="AE70" s="5">
        <f>MIN(AD69,MAX(0,(AE69+AD69)-AF69))</f>
        <v/>
      </c>
      <c r="AF70" s="5">
        <f>MIN(MAX(Z70,0),AA70+AB70+AC70+AD70+AE70)</f>
        <v/>
      </c>
      <c r="AG70" s="5">
        <f>MAX(Z70,0)-AF70</f>
        <v/>
      </c>
      <c r="AH70" s="5">
        <f>AG70*_zs8hxw*Y70</f>
        <v/>
      </c>
      <c r="AI70" s="5">
        <f>IF(B70,G70-_zkfhzg-O70-V70-W70-K70-Q70,0)</f>
        <v/>
      </c>
      <c r="AJ70" s="5">
        <f>MAX(0,-AI69)</f>
        <v/>
      </c>
      <c r="AK70" s="5">
        <f>MIN(AJ69,MAX(0,(AN69+AM69+AL69+AK69+AJ69)-AO69))</f>
        <v/>
      </c>
      <c r="AL70" s="5">
        <f>MIN(AK69,MAX(0,(AN69+AM69+AL69+AK69)-AO69))</f>
        <v/>
      </c>
      <c r="AM70" s="5">
        <f>MIN(AL69,MAX(0,(AN69+AM69+AL69)-AO69))</f>
        <v/>
      </c>
      <c r="AN70" s="5">
        <f>MIN(AM69,MAX(0,(AN69+AM69)-AO69))</f>
        <v/>
      </c>
      <c r="AO70" s="5">
        <f>MIN(MAX(AI70,0),AJ70+AK70+AL70+AM70+AN70)</f>
        <v/>
      </c>
      <c r="AP70" s="5">
        <f>MAX(AI70,0)-AO70</f>
        <v/>
      </c>
      <c r="AQ70" s="5">
        <f>AP70*_zs8hxw*Y70</f>
        <v/>
      </c>
      <c r="AR70" s="5">
        <f>IF(A70=_zx5hja,_zlajvq,0)</f>
        <v/>
      </c>
      <c r="AS70" s="5">
        <f>IF(A70=_zx5hja,_zyh8pc,0)</f>
        <v/>
      </c>
      <c r="AT70" s="5">
        <f>IF(B70,F70-_zkfhzg-M70-O70-I70+AR70,0)</f>
        <v/>
      </c>
      <c r="AU70" s="5">
        <f>AT70-AH70</f>
        <v/>
      </c>
      <c r="AV70" s="5">
        <f>IF(B70,F70-_zkfhzg-M70-O70-I70-R70-AQ70+AS70-IF(AND(A70=_zx5hja,_z2al7i&gt;_zx5hja),T70,0),0)</f>
        <v/>
      </c>
      <c r="AW70" s="5">
        <f>AW69+AU70</f>
        <v/>
      </c>
      <c r="AX70" s="5">
        <f>IF(AND(AW69&lt;0,AW70&gt;=0,AU70&gt;0),1,0)</f>
        <v/>
      </c>
      <c r="AY70" s="5">
        <f>AU70/(1+_zawtbl)^A70</f>
        <v/>
      </c>
      <c r="AZ70" s="5">
        <f>AZ69+AY70</f>
        <v/>
      </c>
      <c r="BA70" s="5">
        <f>IF(AND(AZ69&lt;0,AZ70&gt;=0,AY70&gt;0),1,0)</f>
        <v/>
      </c>
      <c r="BB70" s="5">
        <f>_zs8nv3*C70</f>
        <v/>
      </c>
      <c r="BC70" s="5">
        <f>IF(B70,_zkfhzg+K70-AR70,0)</f>
        <v/>
      </c>
      <c r="BD70" s="5">
        <f>IF(AT70=0,BD69,SIGN(AT70))</f>
        <v/>
      </c>
      <c r="BE70" s="5">
        <f>BE69+IF(OR(AT70=0,BD69=0),0,IF(SIGN(AT70)&lt;&gt;BD69,1,0))</f>
        <v/>
      </c>
      <c r="BF70" s="5">
        <f>IF(AU70=0,BF69,SIGN(AU70))</f>
        <v/>
      </c>
      <c r="BG70" s="5">
        <f>BG69+IF(OR(AU70=0,BF69=0),0,IF(SIGN(AU70)&lt;&gt;BF69,1,0))</f>
        <v/>
      </c>
      <c r="BH70" s="5">
        <f>IF(AV70=0,BH69,SIGN(AV70))</f>
        <v/>
      </c>
      <c r="BI70" s="5">
        <f>BI69+IF(OR(AV70=0,BH69=0),0,IF(SIGN(AV70)&lt;&gt;BH69,1,0))</f>
        <v/>
      </c>
    </row>
    <row r="71">
      <c r="A71" s="5" t="n">
        <v>5</v>
      </c>
      <c r="B71" s="5">
        <f>AND(A71&gt;=1,A71&lt;=_zx5hja)</f>
        <v/>
      </c>
      <c r="C71" s="5">
        <f>IF(B71,(1-_zg5443)^(A71-1),0)</f>
        <v/>
      </c>
      <c r="D71" s="5">
        <f>_zt11ik*C71</f>
        <v/>
      </c>
      <c r="E71" s="5">
        <f>_z5gr99*C71</f>
        <v/>
      </c>
      <c r="F71" s="5">
        <f>_zk8d4f*D71+_zsw7bq*E71</f>
        <v/>
      </c>
      <c r="G71" s="5">
        <f>F71/(1+0.13)</f>
        <v/>
      </c>
      <c r="H71" s="5">
        <f>F71-G71</f>
        <v/>
      </c>
      <c r="I71" s="5">
        <f>IF(AND(B71,A71=_ztfkfy),_z67r2o*_z0m7ys,0)</f>
        <v/>
      </c>
      <c r="J71" s="5">
        <f>I71*0.13/(1+0.13)</f>
        <v/>
      </c>
      <c r="K71" s="5">
        <f>I71-J71</f>
        <v/>
      </c>
      <c r="L71" s="5">
        <f>N70+J71</f>
        <v/>
      </c>
      <c r="M71" s="5">
        <f>MAX(0,H71-L71)</f>
        <v/>
      </c>
      <c r="N71" s="5">
        <f>MAX(0,L71-H71)</f>
        <v/>
      </c>
      <c r="O71" s="5">
        <f>M71*0.12</f>
        <v/>
      </c>
      <c r="P71" s="5">
        <f>T70</f>
        <v/>
      </c>
      <c r="Q71" s="5">
        <f>IF(AND(B71,A71&lt;=_z2al7i),P71*_zyywx7,0)</f>
        <v/>
      </c>
      <c r="R71" s="5">
        <f>IF(AND(B71,A71&lt;=_z2al7i),_zgsfrl,0)</f>
        <v/>
      </c>
      <c r="S71" s="5">
        <f>R71-Q71</f>
        <v/>
      </c>
      <c r="T71" s="5">
        <f>MAX(0,P71-S71)</f>
        <v/>
      </c>
      <c r="U71" s="5">
        <f>IF(AND(B71,A71&lt;=_zupe8l),_zb0m7l,0)</f>
        <v/>
      </c>
      <c r="V71" s="5">
        <f>IF(AND(B71,A71&lt;=_zupe8l),_zm1wss,0)</f>
        <v/>
      </c>
      <c r="W71" s="5">
        <f>IF(AND(B71,A71&lt;=_zhf3a4),_zdqt32,0)</f>
        <v/>
      </c>
      <c r="X71" s="5">
        <f>IF((_zhsdpd="是"),IF(A71&lt;=3,0,IF(A71&lt;=6,0.5,1)),1)</f>
        <v/>
      </c>
      <c r="Y71" s="5">
        <f>_zrzkf6*X71+(1-_zrzkf6)</f>
        <v/>
      </c>
      <c r="Z71" s="5">
        <f>IF(B71,G71-_zkfhzg-O71-U71-W71-K71,0)</f>
        <v/>
      </c>
      <c r="AA71" s="5">
        <f>MAX(0,-Z70)</f>
        <v/>
      </c>
      <c r="AB71" s="5">
        <f>MIN(AA70,MAX(0,(AE70+AD70+AC70+AB70+AA70)-AF70))</f>
        <v/>
      </c>
      <c r="AC71" s="5">
        <f>MIN(AB70,MAX(0,(AE70+AD70+AC70+AB70)-AF70))</f>
        <v/>
      </c>
      <c r="AD71" s="5">
        <f>MIN(AC70,MAX(0,(AE70+AD70+AC70)-AF70))</f>
        <v/>
      </c>
      <c r="AE71" s="5">
        <f>MIN(AD70,MAX(0,(AE70+AD70)-AF70))</f>
        <v/>
      </c>
      <c r="AF71" s="5">
        <f>MIN(MAX(Z71,0),AA71+AB71+AC71+AD71+AE71)</f>
        <v/>
      </c>
      <c r="AG71" s="5">
        <f>MAX(Z71,0)-AF71</f>
        <v/>
      </c>
      <c r="AH71" s="5">
        <f>AG71*_zs8hxw*Y71</f>
        <v/>
      </c>
      <c r="AI71" s="5">
        <f>IF(B71,G71-_zkfhzg-O71-V71-W71-K71-Q71,0)</f>
        <v/>
      </c>
      <c r="AJ71" s="5">
        <f>MAX(0,-AI70)</f>
        <v/>
      </c>
      <c r="AK71" s="5">
        <f>MIN(AJ70,MAX(0,(AN70+AM70+AL70+AK70+AJ70)-AO70))</f>
        <v/>
      </c>
      <c r="AL71" s="5">
        <f>MIN(AK70,MAX(0,(AN70+AM70+AL70+AK70)-AO70))</f>
        <v/>
      </c>
      <c r="AM71" s="5">
        <f>MIN(AL70,MAX(0,(AN70+AM70+AL70)-AO70))</f>
        <v/>
      </c>
      <c r="AN71" s="5">
        <f>MIN(AM70,MAX(0,(AN70+AM70)-AO70))</f>
        <v/>
      </c>
      <c r="AO71" s="5">
        <f>MIN(MAX(AI71,0),AJ71+AK71+AL71+AM71+AN71)</f>
        <v/>
      </c>
      <c r="AP71" s="5">
        <f>MAX(AI71,0)-AO71</f>
        <v/>
      </c>
      <c r="AQ71" s="5">
        <f>AP71*_zs8hxw*Y71</f>
        <v/>
      </c>
      <c r="AR71" s="5">
        <f>IF(A71=_zx5hja,_zlajvq,0)</f>
        <v/>
      </c>
      <c r="AS71" s="5">
        <f>IF(A71=_zx5hja,_zyh8pc,0)</f>
        <v/>
      </c>
      <c r="AT71" s="5">
        <f>IF(B71,F71-_zkfhzg-M71-O71-I71+AR71,0)</f>
        <v/>
      </c>
      <c r="AU71" s="5">
        <f>AT71-AH71</f>
        <v/>
      </c>
      <c r="AV71" s="5">
        <f>IF(B71,F71-_zkfhzg-M71-O71-I71-R71-AQ71+AS71-IF(AND(A71=_zx5hja,_z2al7i&gt;_zx5hja),T71,0),0)</f>
        <v/>
      </c>
      <c r="AW71" s="5">
        <f>AW70+AU71</f>
        <v/>
      </c>
      <c r="AX71" s="5">
        <f>IF(AND(AW70&lt;0,AW71&gt;=0,AU71&gt;0),1,0)</f>
        <v/>
      </c>
      <c r="AY71" s="5">
        <f>AU71/(1+_zawtbl)^A71</f>
        <v/>
      </c>
      <c r="AZ71" s="5">
        <f>AZ70+AY71</f>
        <v/>
      </c>
      <c r="BA71" s="5">
        <f>IF(AND(AZ70&lt;0,AZ71&gt;=0,AY71&gt;0),1,0)</f>
        <v/>
      </c>
      <c r="BB71" s="5">
        <f>_zs8nv3*C71</f>
        <v/>
      </c>
      <c r="BC71" s="5">
        <f>IF(B71,_zkfhzg+K71-AR71,0)</f>
        <v/>
      </c>
      <c r="BD71" s="5">
        <f>IF(AT71=0,BD70,SIGN(AT71))</f>
        <v/>
      </c>
      <c r="BE71" s="5">
        <f>BE70+IF(OR(AT71=0,BD70=0),0,IF(SIGN(AT71)&lt;&gt;BD70,1,0))</f>
        <v/>
      </c>
      <c r="BF71" s="5">
        <f>IF(AU71=0,BF70,SIGN(AU71))</f>
        <v/>
      </c>
      <c r="BG71" s="5">
        <f>BG70+IF(OR(AU71=0,BF70=0),0,IF(SIGN(AU71)&lt;&gt;BF70,1,0))</f>
        <v/>
      </c>
      <c r="BH71" s="5">
        <f>IF(AV71=0,BH70,SIGN(AV71))</f>
        <v/>
      </c>
      <c r="BI71" s="5">
        <f>BI70+IF(OR(AV71=0,BH70=0),0,IF(SIGN(AV71)&lt;&gt;BH70,1,0))</f>
        <v/>
      </c>
    </row>
    <row r="72">
      <c r="A72" s="5" t="n">
        <v>6</v>
      </c>
      <c r="B72" s="5">
        <f>AND(A72&gt;=1,A72&lt;=_zx5hja)</f>
        <v/>
      </c>
      <c r="C72" s="5">
        <f>IF(B72,(1-_zg5443)^(A72-1),0)</f>
        <v/>
      </c>
      <c r="D72" s="5">
        <f>_zt11ik*C72</f>
        <v/>
      </c>
      <c r="E72" s="5">
        <f>_z5gr99*C72</f>
        <v/>
      </c>
      <c r="F72" s="5">
        <f>_zk8d4f*D72+_zsw7bq*E72</f>
        <v/>
      </c>
      <c r="G72" s="5">
        <f>F72/(1+0.13)</f>
        <v/>
      </c>
      <c r="H72" s="5">
        <f>F72-G72</f>
        <v/>
      </c>
      <c r="I72" s="5">
        <f>IF(AND(B72,A72=_ztfkfy),_z67r2o*_z0m7ys,0)</f>
        <v/>
      </c>
      <c r="J72" s="5">
        <f>I72*0.13/(1+0.13)</f>
        <v/>
      </c>
      <c r="K72" s="5">
        <f>I72-J72</f>
        <v/>
      </c>
      <c r="L72" s="5">
        <f>N71+J72</f>
        <v/>
      </c>
      <c r="M72" s="5">
        <f>MAX(0,H72-L72)</f>
        <v/>
      </c>
      <c r="N72" s="5">
        <f>MAX(0,L72-H72)</f>
        <v/>
      </c>
      <c r="O72" s="5">
        <f>M72*0.12</f>
        <v/>
      </c>
      <c r="P72" s="5">
        <f>T71</f>
        <v/>
      </c>
      <c r="Q72" s="5">
        <f>IF(AND(B72,A72&lt;=_z2al7i),P72*_zyywx7,0)</f>
        <v/>
      </c>
      <c r="R72" s="5">
        <f>IF(AND(B72,A72&lt;=_z2al7i),_zgsfrl,0)</f>
        <v/>
      </c>
      <c r="S72" s="5">
        <f>R72-Q72</f>
        <v/>
      </c>
      <c r="T72" s="5">
        <f>MAX(0,P72-S72)</f>
        <v/>
      </c>
      <c r="U72" s="5">
        <f>IF(AND(B72,A72&lt;=_zupe8l),_zb0m7l,0)</f>
        <v/>
      </c>
      <c r="V72" s="5">
        <f>IF(AND(B72,A72&lt;=_zupe8l),_zm1wss,0)</f>
        <v/>
      </c>
      <c r="W72" s="5">
        <f>IF(AND(B72,A72&lt;=_zhf3a4),_zdqt32,0)</f>
        <v/>
      </c>
      <c r="X72" s="5">
        <f>IF((_zhsdpd="是"),IF(A72&lt;=3,0,IF(A72&lt;=6,0.5,1)),1)</f>
        <v/>
      </c>
      <c r="Y72" s="5">
        <f>_zrzkf6*X72+(1-_zrzkf6)</f>
        <v/>
      </c>
      <c r="Z72" s="5">
        <f>IF(B72,G72-_zkfhzg-O72-U72-W72-K72,0)</f>
        <v/>
      </c>
      <c r="AA72" s="5">
        <f>MAX(0,-Z71)</f>
        <v/>
      </c>
      <c r="AB72" s="5">
        <f>MIN(AA71,MAX(0,(AE71+AD71+AC71+AB71+AA71)-AF71))</f>
        <v/>
      </c>
      <c r="AC72" s="5">
        <f>MIN(AB71,MAX(0,(AE71+AD71+AC71+AB71)-AF71))</f>
        <v/>
      </c>
      <c r="AD72" s="5">
        <f>MIN(AC71,MAX(0,(AE71+AD71+AC71)-AF71))</f>
        <v/>
      </c>
      <c r="AE72" s="5">
        <f>MIN(AD71,MAX(0,(AE71+AD71)-AF71))</f>
        <v/>
      </c>
      <c r="AF72" s="5">
        <f>MIN(MAX(Z72,0),AA72+AB72+AC72+AD72+AE72)</f>
        <v/>
      </c>
      <c r="AG72" s="5">
        <f>MAX(Z72,0)-AF72</f>
        <v/>
      </c>
      <c r="AH72" s="5">
        <f>AG72*_zs8hxw*Y72</f>
        <v/>
      </c>
      <c r="AI72" s="5">
        <f>IF(B72,G72-_zkfhzg-O72-V72-W72-K72-Q72,0)</f>
        <v/>
      </c>
      <c r="AJ72" s="5">
        <f>MAX(0,-AI71)</f>
        <v/>
      </c>
      <c r="AK72" s="5">
        <f>MIN(AJ71,MAX(0,(AN71+AM71+AL71+AK71+AJ71)-AO71))</f>
        <v/>
      </c>
      <c r="AL72" s="5">
        <f>MIN(AK71,MAX(0,(AN71+AM71+AL71+AK71)-AO71))</f>
        <v/>
      </c>
      <c r="AM72" s="5">
        <f>MIN(AL71,MAX(0,(AN71+AM71+AL71)-AO71))</f>
        <v/>
      </c>
      <c r="AN72" s="5">
        <f>MIN(AM71,MAX(0,(AN71+AM71)-AO71))</f>
        <v/>
      </c>
      <c r="AO72" s="5">
        <f>MIN(MAX(AI72,0),AJ72+AK72+AL72+AM72+AN72)</f>
        <v/>
      </c>
      <c r="AP72" s="5">
        <f>MAX(AI72,0)-AO72</f>
        <v/>
      </c>
      <c r="AQ72" s="5">
        <f>AP72*_zs8hxw*Y72</f>
        <v/>
      </c>
      <c r="AR72" s="5">
        <f>IF(A72=_zx5hja,_zlajvq,0)</f>
        <v/>
      </c>
      <c r="AS72" s="5">
        <f>IF(A72=_zx5hja,_zyh8pc,0)</f>
        <v/>
      </c>
      <c r="AT72" s="5">
        <f>IF(B72,F72-_zkfhzg-M72-O72-I72+AR72,0)</f>
        <v/>
      </c>
      <c r="AU72" s="5">
        <f>AT72-AH72</f>
        <v/>
      </c>
      <c r="AV72" s="5">
        <f>IF(B72,F72-_zkfhzg-M72-O72-I72-R72-AQ72+AS72-IF(AND(A72=_zx5hja,_z2al7i&gt;_zx5hja),T72,0),0)</f>
        <v/>
      </c>
      <c r="AW72" s="5">
        <f>AW71+AU72</f>
        <v/>
      </c>
      <c r="AX72" s="5">
        <f>IF(AND(AW71&lt;0,AW72&gt;=0,AU72&gt;0),1,0)</f>
        <v/>
      </c>
      <c r="AY72" s="5">
        <f>AU72/(1+_zawtbl)^A72</f>
        <v/>
      </c>
      <c r="AZ72" s="5">
        <f>AZ71+AY72</f>
        <v/>
      </c>
      <c r="BA72" s="5">
        <f>IF(AND(AZ71&lt;0,AZ72&gt;=0,AY72&gt;0),1,0)</f>
        <v/>
      </c>
      <c r="BB72" s="5">
        <f>_zs8nv3*C72</f>
        <v/>
      </c>
      <c r="BC72" s="5">
        <f>IF(B72,_zkfhzg+K72-AR72,0)</f>
        <v/>
      </c>
      <c r="BD72" s="5">
        <f>IF(AT72=0,BD71,SIGN(AT72))</f>
        <v/>
      </c>
      <c r="BE72" s="5">
        <f>BE71+IF(OR(AT72=0,BD71=0),0,IF(SIGN(AT72)&lt;&gt;BD71,1,0))</f>
        <v/>
      </c>
      <c r="BF72" s="5">
        <f>IF(AU72=0,BF71,SIGN(AU72))</f>
        <v/>
      </c>
      <c r="BG72" s="5">
        <f>BG71+IF(OR(AU72=0,BF71=0),0,IF(SIGN(AU72)&lt;&gt;BF71,1,0))</f>
        <v/>
      </c>
      <c r="BH72" s="5">
        <f>IF(AV72=0,BH71,SIGN(AV72))</f>
        <v/>
      </c>
      <c r="BI72" s="5">
        <f>BI71+IF(OR(AV72=0,BH71=0),0,IF(SIGN(AV72)&lt;&gt;BH71,1,0))</f>
        <v/>
      </c>
    </row>
    <row r="73">
      <c r="A73" s="5" t="n">
        <v>7</v>
      </c>
      <c r="B73" s="5">
        <f>AND(A73&gt;=1,A73&lt;=_zx5hja)</f>
        <v/>
      </c>
      <c r="C73" s="5">
        <f>IF(B73,(1-_zg5443)^(A73-1),0)</f>
        <v/>
      </c>
      <c r="D73" s="5">
        <f>_zt11ik*C73</f>
        <v/>
      </c>
      <c r="E73" s="5">
        <f>_z5gr99*C73</f>
        <v/>
      </c>
      <c r="F73" s="5">
        <f>_zk8d4f*D73+_zsw7bq*E73</f>
        <v/>
      </c>
      <c r="G73" s="5">
        <f>F73/(1+0.13)</f>
        <v/>
      </c>
      <c r="H73" s="5">
        <f>F73-G73</f>
        <v/>
      </c>
      <c r="I73" s="5">
        <f>IF(AND(B73,A73=_ztfkfy),_z67r2o*_z0m7ys,0)</f>
        <v/>
      </c>
      <c r="J73" s="5">
        <f>I73*0.13/(1+0.13)</f>
        <v/>
      </c>
      <c r="K73" s="5">
        <f>I73-J73</f>
        <v/>
      </c>
      <c r="L73" s="5">
        <f>N72+J73</f>
        <v/>
      </c>
      <c r="M73" s="5">
        <f>MAX(0,H73-L73)</f>
        <v/>
      </c>
      <c r="N73" s="5">
        <f>MAX(0,L73-H73)</f>
        <v/>
      </c>
      <c r="O73" s="5">
        <f>M73*0.12</f>
        <v/>
      </c>
      <c r="P73" s="5">
        <f>T72</f>
        <v/>
      </c>
      <c r="Q73" s="5">
        <f>IF(AND(B73,A73&lt;=_z2al7i),P73*_zyywx7,0)</f>
        <v/>
      </c>
      <c r="R73" s="5">
        <f>IF(AND(B73,A73&lt;=_z2al7i),_zgsfrl,0)</f>
        <v/>
      </c>
      <c r="S73" s="5">
        <f>R73-Q73</f>
        <v/>
      </c>
      <c r="T73" s="5">
        <f>MAX(0,P73-S73)</f>
        <v/>
      </c>
      <c r="U73" s="5">
        <f>IF(AND(B73,A73&lt;=_zupe8l),_zb0m7l,0)</f>
        <v/>
      </c>
      <c r="V73" s="5">
        <f>IF(AND(B73,A73&lt;=_zupe8l),_zm1wss,0)</f>
        <v/>
      </c>
      <c r="W73" s="5">
        <f>IF(AND(B73,A73&lt;=_zhf3a4),_zdqt32,0)</f>
        <v/>
      </c>
      <c r="X73" s="5">
        <f>IF((_zhsdpd="是"),IF(A73&lt;=3,0,IF(A73&lt;=6,0.5,1)),1)</f>
        <v/>
      </c>
      <c r="Y73" s="5">
        <f>_zrzkf6*X73+(1-_zrzkf6)</f>
        <v/>
      </c>
      <c r="Z73" s="5">
        <f>IF(B73,G73-_zkfhzg-O73-U73-W73-K73,0)</f>
        <v/>
      </c>
      <c r="AA73" s="5">
        <f>MAX(0,-Z72)</f>
        <v/>
      </c>
      <c r="AB73" s="5">
        <f>MIN(AA72,MAX(0,(AE72+AD72+AC72+AB72+AA72)-AF72))</f>
        <v/>
      </c>
      <c r="AC73" s="5">
        <f>MIN(AB72,MAX(0,(AE72+AD72+AC72+AB72)-AF72))</f>
        <v/>
      </c>
      <c r="AD73" s="5">
        <f>MIN(AC72,MAX(0,(AE72+AD72+AC72)-AF72))</f>
        <v/>
      </c>
      <c r="AE73" s="5">
        <f>MIN(AD72,MAX(0,(AE72+AD72)-AF72))</f>
        <v/>
      </c>
      <c r="AF73" s="5">
        <f>MIN(MAX(Z73,0),AA73+AB73+AC73+AD73+AE73)</f>
        <v/>
      </c>
      <c r="AG73" s="5">
        <f>MAX(Z73,0)-AF73</f>
        <v/>
      </c>
      <c r="AH73" s="5">
        <f>AG73*_zs8hxw*Y73</f>
        <v/>
      </c>
      <c r="AI73" s="5">
        <f>IF(B73,G73-_zkfhzg-O73-V73-W73-K73-Q73,0)</f>
        <v/>
      </c>
      <c r="AJ73" s="5">
        <f>MAX(0,-AI72)</f>
        <v/>
      </c>
      <c r="AK73" s="5">
        <f>MIN(AJ72,MAX(0,(AN72+AM72+AL72+AK72+AJ72)-AO72))</f>
        <v/>
      </c>
      <c r="AL73" s="5">
        <f>MIN(AK72,MAX(0,(AN72+AM72+AL72+AK72)-AO72))</f>
        <v/>
      </c>
      <c r="AM73" s="5">
        <f>MIN(AL72,MAX(0,(AN72+AM72+AL72)-AO72))</f>
        <v/>
      </c>
      <c r="AN73" s="5">
        <f>MIN(AM72,MAX(0,(AN72+AM72)-AO72))</f>
        <v/>
      </c>
      <c r="AO73" s="5">
        <f>MIN(MAX(AI73,0),AJ73+AK73+AL73+AM73+AN73)</f>
        <v/>
      </c>
      <c r="AP73" s="5">
        <f>MAX(AI73,0)-AO73</f>
        <v/>
      </c>
      <c r="AQ73" s="5">
        <f>AP73*_zs8hxw*Y73</f>
        <v/>
      </c>
      <c r="AR73" s="5">
        <f>IF(A73=_zx5hja,_zlajvq,0)</f>
        <v/>
      </c>
      <c r="AS73" s="5">
        <f>IF(A73=_zx5hja,_zyh8pc,0)</f>
        <v/>
      </c>
      <c r="AT73" s="5">
        <f>IF(B73,F73-_zkfhzg-M73-O73-I73+AR73,0)</f>
        <v/>
      </c>
      <c r="AU73" s="5">
        <f>AT73-AH73</f>
        <v/>
      </c>
      <c r="AV73" s="5">
        <f>IF(B73,F73-_zkfhzg-M73-O73-I73-R73-AQ73+AS73-IF(AND(A73=_zx5hja,_z2al7i&gt;_zx5hja),T73,0),0)</f>
        <v/>
      </c>
      <c r="AW73" s="5">
        <f>AW72+AU73</f>
        <v/>
      </c>
      <c r="AX73" s="5">
        <f>IF(AND(AW72&lt;0,AW73&gt;=0,AU73&gt;0),1,0)</f>
        <v/>
      </c>
      <c r="AY73" s="5">
        <f>AU73/(1+_zawtbl)^A73</f>
        <v/>
      </c>
      <c r="AZ73" s="5">
        <f>AZ72+AY73</f>
        <v/>
      </c>
      <c r="BA73" s="5">
        <f>IF(AND(AZ72&lt;0,AZ73&gt;=0,AY73&gt;0),1,0)</f>
        <v/>
      </c>
      <c r="BB73" s="5">
        <f>_zs8nv3*C73</f>
        <v/>
      </c>
      <c r="BC73" s="5">
        <f>IF(B73,_zkfhzg+K73-AR73,0)</f>
        <v/>
      </c>
      <c r="BD73" s="5">
        <f>IF(AT73=0,BD72,SIGN(AT73))</f>
        <v/>
      </c>
      <c r="BE73" s="5">
        <f>BE72+IF(OR(AT73=0,BD72=0),0,IF(SIGN(AT73)&lt;&gt;BD72,1,0))</f>
        <v/>
      </c>
      <c r="BF73" s="5">
        <f>IF(AU73=0,BF72,SIGN(AU73))</f>
        <v/>
      </c>
      <c r="BG73" s="5">
        <f>BG72+IF(OR(AU73=0,BF72=0),0,IF(SIGN(AU73)&lt;&gt;BF72,1,0))</f>
        <v/>
      </c>
      <c r="BH73" s="5">
        <f>IF(AV73=0,BH72,SIGN(AV73))</f>
        <v/>
      </c>
      <c r="BI73" s="5">
        <f>BI72+IF(OR(AV73=0,BH72=0),0,IF(SIGN(AV73)&lt;&gt;BH72,1,0))</f>
        <v/>
      </c>
    </row>
    <row r="74">
      <c r="A74" s="5" t="n">
        <v>8</v>
      </c>
      <c r="B74" s="5">
        <f>AND(A74&gt;=1,A74&lt;=_zx5hja)</f>
        <v/>
      </c>
      <c r="C74" s="5">
        <f>IF(B74,(1-_zg5443)^(A74-1),0)</f>
        <v/>
      </c>
      <c r="D74" s="5">
        <f>_zt11ik*C74</f>
        <v/>
      </c>
      <c r="E74" s="5">
        <f>_z5gr99*C74</f>
        <v/>
      </c>
      <c r="F74" s="5">
        <f>_zk8d4f*D74+_zsw7bq*E74</f>
        <v/>
      </c>
      <c r="G74" s="5">
        <f>F74/(1+0.13)</f>
        <v/>
      </c>
      <c r="H74" s="5">
        <f>F74-G74</f>
        <v/>
      </c>
      <c r="I74" s="5">
        <f>IF(AND(B74,A74=_ztfkfy),_z67r2o*_z0m7ys,0)</f>
        <v/>
      </c>
      <c r="J74" s="5">
        <f>I74*0.13/(1+0.13)</f>
        <v/>
      </c>
      <c r="K74" s="5">
        <f>I74-J74</f>
        <v/>
      </c>
      <c r="L74" s="5">
        <f>N73+J74</f>
        <v/>
      </c>
      <c r="M74" s="5">
        <f>MAX(0,H74-L74)</f>
        <v/>
      </c>
      <c r="N74" s="5">
        <f>MAX(0,L74-H74)</f>
        <v/>
      </c>
      <c r="O74" s="5">
        <f>M74*0.12</f>
        <v/>
      </c>
      <c r="P74" s="5">
        <f>T73</f>
        <v/>
      </c>
      <c r="Q74" s="5">
        <f>IF(AND(B74,A74&lt;=_z2al7i),P74*_zyywx7,0)</f>
        <v/>
      </c>
      <c r="R74" s="5">
        <f>IF(AND(B74,A74&lt;=_z2al7i),_zgsfrl,0)</f>
        <v/>
      </c>
      <c r="S74" s="5">
        <f>R74-Q74</f>
        <v/>
      </c>
      <c r="T74" s="5">
        <f>MAX(0,P74-S74)</f>
        <v/>
      </c>
      <c r="U74" s="5">
        <f>IF(AND(B74,A74&lt;=_zupe8l),_zb0m7l,0)</f>
        <v/>
      </c>
      <c r="V74" s="5">
        <f>IF(AND(B74,A74&lt;=_zupe8l),_zm1wss,0)</f>
        <v/>
      </c>
      <c r="W74" s="5">
        <f>IF(AND(B74,A74&lt;=_zhf3a4),_zdqt32,0)</f>
        <v/>
      </c>
      <c r="X74" s="5">
        <f>IF((_zhsdpd="是"),IF(A74&lt;=3,0,IF(A74&lt;=6,0.5,1)),1)</f>
        <v/>
      </c>
      <c r="Y74" s="5">
        <f>_zrzkf6*X74+(1-_zrzkf6)</f>
        <v/>
      </c>
      <c r="Z74" s="5">
        <f>IF(B74,G74-_zkfhzg-O74-U74-W74-K74,0)</f>
        <v/>
      </c>
      <c r="AA74" s="5">
        <f>MAX(0,-Z73)</f>
        <v/>
      </c>
      <c r="AB74" s="5">
        <f>MIN(AA73,MAX(0,(AE73+AD73+AC73+AB73+AA73)-AF73))</f>
        <v/>
      </c>
      <c r="AC74" s="5">
        <f>MIN(AB73,MAX(0,(AE73+AD73+AC73+AB73)-AF73))</f>
        <v/>
      </c>
      <c r="AD74" s="5">
        <f>MIN(AC73,MAX(0,(AE73+AD73+AC73)-AF73))</f>
        <v/>
      </c>
      <c r="AE74" s="5">
        <f>MIN(AD73,MAX(0,(AE73+AD73)-AF73))</f>
        <v/>
      </c>
      <c r="AF74" s="5">
        <f>MIN(MAX(Z74,0),AA74+AB74+AC74+AD74+AE74)</f>
        <v/>
      </c>
      <c r="AG74" s="5">
        <f>MAX(Z74,0)-AF74</f>
        <v/>
      </c>
      <c r="AH74" s="5">
        <f>AG74*_zs8hxw*Y74</f>
        <v/>
      </c>
      <c r="AI74" s="5">
        <f>IF(B74,G74-_zkfhzg-O74-V74-W74-K74-Q74,0)</f>
        <v/>
      </c>
      <c r="AJ74" s="5">
        <f>MAX(0,-AI73)</f>
        <v/>
      </c>
      <c r="AK74" s="5">
        <f>MIN(AJ73,MAX(0,(AN73+AM73+AL73+AK73+AJ73)-AO73))</f>
        <v/>
      </c>
      <c r="AL74" s="5">
        <f>MIN(AK73,MAX(0,(AN73+AM73+AL73+AK73)-AO73))</f>
        <v/>
      </c>
      <c r="AM74" s="5">
        <f>MIN(AL73,MAX(0,(AN73+AM73+AL73)-AO73))</f>
        <v/>
      </c>
      <c r="AN74" s="5">
        <f>MIN(AM73,MAX(0,(AN73+AM73)-AO73))</f>
        <v/>
      </c>
      <c r="AO74" s="5">
        <f>MIN(MAX(AI74,0),AJ74+AK74+AL74+AM74+AN74)</f>
        <v/>
      </c>
      <c r="AP74" s="5">
        <f>MAX(AI74,0)-AO74</f>
        <v/>
      </c>
      <c r="AQ74" s="5">
        <f>AP74*_zs8hxw*Y74</f>
        <v/>
      </c>
      <c r="AR74" s="5">
        <f>IF(A74=_zx5hja,_zlajvq,0)</f>
        <v/>
      </c>
      <c r="AS74" s="5">
        <f>IF(A74=_zx5hja,_zyh8pc,0)</f>
        <v/>
      </c>
      <c r="AT74" s="5">
        <f>IF(B74,F74-_zkfhzg-M74-O74-I74+AR74,0)</f>
        <v/>
      </c>
      <c r="AU74" s="5">
        <f>AT74-AH74</f>
        <v/>
      </c>
      <c r="AV74" s="5">
        <f>IF(B74,F74-_zkfhzg-M74-O74-I74-R74-AQ74+AS74-IF(AND(A74=_zx5hja,_z2al7i&gt;_zx5hja),T74,0),0)</f>
        <v/>
      </c>
      <c r="AW74" s="5">
        <f>AW73+AU74</f>
        <v/>
      </c>
      <c r="AX74" s="5">
        <f>IF(AND(AW73&lt;0,AW74&gt;=0,AU74&gt;0),1,0)</f>
        <v/>
      </c>
      <c r="AY74" s="5">
        <f>AU74/(1+_zawtbl)^A74</f>
        <v/>
      </c>
      <c r="AZ74" s="5">
        <f>AZ73+AY74</f>
        <v/>
      </c>
      <c r="BA74" s="5">
        <f>IF(AND(AZ73&lt;0,AZ74&gt;=0,AY74&gt;0),1,0)</f>
        <v/>
      </c>
      <c r="BB74" s="5">
        <f>_zs8nv3*C74</f>
        <v/>
      </c>
      <c r="BC74" s="5">
        <f>IF(B74,_zkfhzg+K74-AR74,0)</f>
        <v/>
      </c>
      <c r="BD74" s="5">
        <f>IF(AT74=0,BD73,SIGN(AT74))</f>
        <v/>
      </c>
      <c r="BE74" s="5">
        <f>BE73+IF(OR(AT74=0,BD73=0),0,IF(SIGN(AT74)&lt;&gt;BD73,1,0))</f>
        <v/>
      </c>
      <c r="BF74" s="5">
        <f>IF(AU74=0,BF73,SIGN(AU74))</f>
        <v/>
      </c>
      <c r="BG74" s="5">
        <f>BG73+IF(OR(AU74=0,BF73=0),0,IF(SIGN(AU74)&lt;&gt;BF73,1,0))</f>
        <v/>
      </c>
      <c r="BH74" s="5">
        <f>IF(AV74=0,BH73,SIGN(AV74))</f>
        <v/>
      </c>
      <c r="BI74" s="5">
        <f>BI73+IF(OR(AV74=0,BH73=0),0,IF(SIGN(AV74)&lt;&gt;BH73,1,0))</f>
        <v/>
      </c>
    </row>
    <row r="75">
      <c r="A75" s="5" t="n">
        <v>9</v>
      </c>
      <c r="B75" s="5">
        <f>AND(A75&gt;=1,A75&lt;=_zx5hja)</f>
        <v/>
      </c>
      <c r="C75" s="5">
        <f>IF(B75,(1-_zg5443)^(A75-1),0)</f>
        <v/>
      </c>
      <c r="D75" s="5">
        <f>_zt11ik*C75</f>
        <v/>
      </c>
      <c r="E75" s="5">
        <f>_z5gr99*C75</f>
        <v/>
      </c>
      <c r="F75" s="5">
        <f>_zk8d4f*D75+_zsw7bq*E75</f>
        <v/>
      </c>
      <c r="G75" s="5">
        <f>F75/(1+0.13)</f>
        <v/>
      </c>
      <c r="H75" s="5">
        <f>F75-G75</f>
        <v/>
      </c>
      <c r="I75" s="5">
        <f>IF(AND(B75,A75=_ztfkfy),_z67r2o*_z0m7ys,0)</f>
        <v/>
      </c>
      <c r="J75" s="5">
        <f>I75*0.13/(1+0.13)</f>
        <v/>
      </c>
      <c r="K75" s="5">
        <f>I75-J75</f>
        <v/>
      </c>
      <c r="L75" s="5">
        <f>N74+J75</f>
        <v/>
      </c>
      <c r="M75" s="5">
        <f>MAX(0,H75-L75)</f>
        <v/>
      </c>
      <c r="N75" s="5">
        <f>MAX(0,L75-H75)</f>
        <v/>
      </c>
      <c r="O75" s="5">
        <f>M75*0.12</f>
        <v/>
      </c>
      <c r="P75" s="5">
        <f>T74</f>
        <v/>
      </c>
      <c r="Q75" s="5">
        <f>IF(AND(B75,A75&lt;=_z2al7i),P75*_zyywx7,0)</f>
        <v/>
      </c>
      <c r="R75" s="5">
        <f>IF(AND(B75,A75&lt;=_z2al7i),_zgsfrl,0)</f>
        <v/>
      </c>
      <c r="S75" s="5">
        <f>R75-Q75</f>
        <v/>
      </c>
      <c r="T75" s="5">
        <f>MAX(0,P75-S75)</f>
        <v/>
      </c>
      <c r="U75" s="5">
        <f>IF(AND(B75,A75&lt;=_zupe8l),_zb0m7l,0)</f>
        <v/>
      </c>
      <c r="V75" s="5">
        <f>IF(AND(B75,A75&lt;=_zupe8l),_zm1wss,0)</f>
        <v/>
      </c>
      <c r="W75" s="5">
        <f>IF(AND(B75,A75&lt;=_zhf3a4),_zdqt32,0)</f>
        <v/>
      </c>
      <c r="X75" s="5">
        <f>IF((_zhsdpd="是"),IF(A75&lt;=3,0,IF(A75&lt;=6,0.5,1)),1)</f>
        <v/>
      </c>
      <c r="Y75" s="5">
        <f>_zrzkf6*X75+(1-_zrzkf6)</f>
        <v/>
      </c>
      <c r="Z75" s="5">
        <f>IF(B75,G75-_zkfhzg-O75-U75-W75-K75,0)</f>
        <v/>
      </c>
      <c r="AA75" s="5">
        <f>MAX(0,-Z74)</f>
        <v/>
      </c>
      <c r="AB75" s="5">
        <f>MIN(AA74,MAX(0,(AE74+AD74+AC74+AB74+AA74)-AF74))</f>
        <v/>
      </c>
      <c r="AC75" s="5">
        <f>MIN(AB74,MAX(0,(AE74+AD74+AC74+AB74)-AF74))</f>
        <v/>
      </c>
      <c r="AD75" s="5">
        <f>MIN(AC74,MAX(0,(AE74+AD74+AC74)-AF74))</f>
        <v/>
      </c>
      <c r="AE75" s="5">
        <f>MIN(AD74,MAX(0,(AE74+AD74)-AF74))</f>
        <v/>
      </c>
      <c r="AF75" s="5">
        <f>MIN(MAX(Z75,0),AA75+AB75+AC75+AD75+AE75)</f>
        <v/>
      </c>
      <c r="AG75" s="5">
        <f>MAX(Z75,0)-AF75</f>
        <v/>
      </c>
      <c r="AH75" s="5">
        <f>AG75*_zs8hxw*Y75</f>
        <v/>
      </c>
      <c r="AI75" s="5">
        <f>IF(B75,G75-_zkfhzg-O75-V75-W75-K75-Q75,0)</f>
        <v/>
      </c>
      <c r="AJ75" s="5">
        <f>MAX(0,-AI74)</f>
        <v/>
      </c>
      <c r="AK75" s="5">
        <f>MIN(AJ74,MAX(0,(AN74+AM74+AL74+AK74+AJ74)-AO74))</f>
        <v/>
      </c>
      <c r="AL75" s="5">
        <f>MIN(AK74,MAX(0,(AN74+AM74+AL74+AK74)-AO74))</f>
        <v/>
      </c>
      <c r="AM75" s="5">
        <f>MIN(AL74,MAX(0,(AN74+AM74+AL74)-AO74))</f>
        <v/>
      </c>
      <c r="AN75" s="5">
        <f>MIN(AM74,MAX(0,(AN74+AM74)-AO74))</f>
        <v/>
      </c>
      <c r="AO75" s="5">
        <f>MIN(MAX(AI75,0),AJ75+AK75+AL75+AM75+AN75)</f>
        <v/>
      </c>
      <c r="AP75" s="5">
        <f>MAX(AI75,0)-AO75</f>
        <v/>
      </c>
      <c r="AQ75" s="5">
        <f>AP75*_zs8hxw*Y75</f>
        <v/>
      </c>
      <c r="AR75" s="5">
        <f>IF(A75=_zx5hja,_zlajvq,0)</f>
        <v/>
      </c>
      <c r="AS75" s="5">
        <f>IF(A75=_zx5hja,_zyh8pc,0)</f>
        <v/>
      </c>
      <c r="AT75" s="5">
        <f>IF(B75,F75-_zkfhzg-M75-O75-I75+AR75,0)</f>
        <v/>
      </c>
      <c r="AU75" s="5">
        <f>AT75-AH75</f>
        <v/>
      </c>
      <c r="AV75" s="5">
        <f>IF(B75,F75-_zkfhzg-M75-O75-I75-R75-AQ75+AS75-IF(AND(A75=_zx5hja,_z2al7i&gt;_zx5hja),T75,0),0)</f>
        <v/>
      </c>
      <c r="AW75" s="5">
        <f>AW74+AU75</f>
        <v/>
      </c>
      <c r="AX75" s="5">
        <f>IF(AND(AW74&lt;0,AW75&gt;=0,AU75&gt;0),1,0)</f>
        <v/>
      </c>
      <c r="AY75" s="5">
        <f>AU75/(1+_zawtbl)^A75</f>
        <v/>
      </c>
      <c r="AZ75" s="5">
        <f>AZ74+AY75</f>
        <v/>
      </c>
      <c r="BA75" s="5">
        <f>IF(AND(AZ74&lt;0,AZ75&gt;=0,AY75&gt;0),1,0)</f>
        <v/>
      </c>
      <c r="BB75" s="5">
        <f>_zs8nv3*C75</f>
        <v/>
      </c>
      <c r="BC75" s="5">
        <f>IF(B75,_zkfhzg+K75-AR75,0)</f>
        <v/>
      </c>
      <c r="BD75" s="5">
        <f>IF(AT75=0,BD74,SIGN(AT75))</f>
        <v/>
      </c>
      <c r="BE75" s="5">
        <f>BE74+IF(OR(AT75=0,BD74=0),0,IF(SIGN(AT75)&lt;&gt;BD74,1,0))</f>
        <v/>
      </c>
      <c r="BF75" s="5">
        <f>IF(AU75=0,BF74,SIGN(AU75))</f>
        <v/>
      </c>
      <c r="BG75" s="5">
        <f>BG74+IF(OR(AU75=0,BF74=0),0,IF(SIGN(AU75)&lt;&gt;BF74,1,0))</f>
        <v/>
      </c>
      <c r="BH75" s="5">
        <f>IF(AV75=0,BH74,SIGN(AV75))</f>
        <v/>
      </c>
      <c r="BI75" s="5">
        <f>BI74+IF(OR(AV75=0,BH74=0),0,IF(SIGN(AV75)&lt;&gt;BH74,1,0))</f>
        <v/>
      </c>
    </row>
    <row r="76">
      <c r="A76" s="5" t="n">
        <v>10</v>
      </c>
      <c r="B76" s="5">
        <f>AND(A76&gt;=1,A76&lt;=_zx5hja)</f>
        <v/>
      </c>
      <c r="C76" s="5">
        <f>IF(B76,(1-_zg5443)^(A76-1),0)</f>
        <v/>
      </c>
      <c r="D76" s="5">
        <f>_zt11ik*C76</f>
        <v/>
      </c>
      <c r="E76" s="5">
        <f>_z5gr99*C76</f>
        <v/>
      </c>
      <c r="F76" s="5">
        <f>_zk8d4f*D76+_zsw7bq*E76</f>
        <v/>
      </c>
      <c r="G76" s="5">
        <f>F76/(1+0.13)</f>
        <v/>
      </c>
      <c r="H76" s="5">
        <f>F76-G76</f>
        <v/>
      </c>
      <c r="I76" s="5">
        <f>IF(AND(B76,A76=_ztfkfy),_z67r2o*_z0m7ys,0)</f>
        <v/>
      </c>
      <c r="J76" s="5">
        <f>I76*0.13/(1+0.13)</f>
        <v/>
      </c>
      <c r="K76" s="5">
        <f>I76-J76</f>
        <v/>
      </c>
      <c r="L76" s="5">
        <f>N75+J76</f>
        <v/>
      </c>
      <c r="M76" s="5">
        <f>MAX(0,H76-L76)</f>
        <v/>
      </c>
      <c r="N76" s="5">
        <f>MAX(0,L76-H76)</f>
        <v/>
      </c>
      <c r="O76" s="5">
        <f>M76*0.12</f>
        <v/>
      </c>
      <c r="P76" s="5">
        <f>T75</f>
        <v/>
      </c>
      <c r="Q76" s="5">
        <f>IF(AND(B76,A76&lt;=_z2al7i),P76*_zyywx7,0)</f>
        <v/>
      </c>
      <c r="R76" s="5">
        <f>IF(AND(B76,A76&lt;=_z2al7i),_zgsfrl,0)</f>
        <v/>
      </c>
      <c r="S76" s="5">
        <f>R76-Q76</f>
        <v/>
      </c>
      <c r="T76" s="5">
        <f>MAX(0,P76-S76)</f>
        <v/>
      </c>
      <c r="U76" s="5">
        <f>IF(AND(B76,A76&lt;=_zupe8l),_zb0m7l,0)</f>
        <v/>
      </c>
      <c r="V76" s="5">
        <f>IF(AND(B76,A76&lt;=_zupe8l),_zm1wss,0)</f>
        <v/>
      </c>
      <c r="W76" s="5">
        <f>IF(AND(B76,A76&lt;=_zhf3a4),_zdqt32,0)</f>
        <v/>
      </c>
      <c r="X76" s="5">
        <f>IF((_zhsdpd="是"),IF(A76&lt;=3,0,IF(A76&lt;=6,0.5,1)),1)</f>
        <v/>
      </c>
      <c r="Y76" s="5">
        <f>_zrzkf6*X76+(1-_zrzkf6)</f>
        <v/>
      </c>
      <c r="Z76" s="5">
        <f>IF(B76,G76-_zkfhzg-O76-U76-W76-K76,0)</f>
        <v/>
      </c>
      <c r="AA76" s="5">
        <f>MAX(0,-Z75)</f>
        <v/>
      </c>
      <c r="AB76" s="5">
        <f>MIN(AA75,MAX(0,(AE75+AD75+AC75+AB75+AA75)-AF75))</f>
        <v/>
      </c>
      <c r="AC76" s="5">
        <f>MIN(AB75,MAX(0,(AE75+AD75+AC75+AB75)-AF75))</f>
        <v/>
      </c>
      <c r="AD76" s="5">
        <f>MIN(AC75,MAX(0,(AE75+AD75+AC75)-AF75))</f>
        <v/>
      </c>
      <c r="AE76" s="5">
        <f>MIN(AD75,MAX(0,(AE75+AD75)-AF75))</f>
        <v/>
      </c>
      <c r="AF76" s="5">
        <f>MIN(MAX(Z76,0),AA76+AB76+AC76+AD76+AE76)</f>
        <v/>
      </c>
      <c r="AG76" s="5">
        <f>MAX(Z76,0)-AF76</f>
        <v/>
      </c>
      <c r="AH76" s="5">
        <f>AG76*_zs8hxw*Y76</f>
        <v/>
      </c>
      <c r="AI76" s="5">
        <f>IF(B76,G76-_zkfhzg-O76-V76-W76-K76-Q76,0)</f>
        <v/>
      </c>
      <c r="AJ76" s="5">
        <f>MAX(0,-AI75)</f>
        <v/>
      </c>
      <c r="AK76" s="5">
        <f>MIN(AJ75,MAX(0,(AN75+AM75+AL75+AK75+AJ75)-AO75))</f>
        <v/>
      </c>
      <c r="AL76" s="5">
        <f>MIN(AK75,MAX(0,(AN75+AM75+AL75+AK75)-AO75))</f>
        <v/>
      </c>
      <c r="AM76" s="5">
        <f>MIN(AL75,MAX(0,(AN75+AM75+AL75)-AO75))</f>
        <v/>
      </c>
      <c r="AN76" s="5">
        <f>MIN(AM75,MAX(0,(AN75+AM75)-AO75))</f>
        <v/>
      </c>
      <c r="AO76" s="5">
        <f>MIN(MAX(AI76,0),AJ76+AK76+AL76+AM76+AN76)</f>
        <v/>
      </c>
      <c r="AP76" s="5">
        <f>MAX(AI76,0)-AO76</f>
        <v/>
      </c>
      <c r="AQ76" s="5">
        <f>AP76*_zs8hxw*Y76</f>
        <v/>
      </c>
      <c r="AR76" s="5">
        <f>IF(A76=_zx5hja,_zlajvq,0)</f>
        <v/>
      </c>
      <c r="AS76" s="5">
        <f>IF(A76=_zx5hja,_zyh8pc,0)</f>
        <v/>
      </c>
      <c r="AT76" s="5">
        <f>IF(B76,F76-_zkfhzg-M76-O76-I76+AR76,0)</f>
        <v/>
      </c>
      <c r="AU76" s="5">
        <f>AT76-AH76</f>
        <v/>
      </c>
      <c r="AV76" s="5">
        <f>IF(B76,F76-_zkfhzg-M76-O76-I76-R76-AQ76+AS76-IF(AND(A76=_zx5hja,_z2al7i&gt;_zx5hja),T76,0),0)</f>
        <v/>
      </c>
      <c r="AW76" s="5">
        <f>AW75+AU76</f>
        <v/>
      </c>
      <c r="AX76" s="5">
        <f>IF(AND(AW75&lt;0,AW76&gt;=0,AU76&gt;0),1,0)</f>
        <v/>
      </c>
      <c r="AY76" s="5">
        <f>AU76/(1+_zawtbl)^A76</f>
        <v/>
      </c>
      <c r="AZ76" s="5">
        <f>AZ75+AY76</f>
        <v/>
      </c>
      <c r="BA76" s="5">
        <f>IF(AND(AZ75&lt;0,AZ76&gt;=0,AY76&gt;0),1,0)</f>
        <v/>
      </c>
      <c r="BB76" s="5">
        <f>_zs8nv3*C76</f>
        <v/>
      </c>
      <c r="BC76" s="5">
        <f>IF(B76,_zkfhzg+K76-AR76,0)</f>
        <v/>
      </c>
      <c r="BD76" s="5">
        <f>IF(AT76=0,BD75,SIGN(AT76))</f>
        <v/>
      </c>
      <c r="BE76" s="5">
        <f>BE75+IF(OR(AT76=0,BD75=0),0,IF(SIGN(AT76)&lt;&gt;BD75,1,0))</f>
        <v/>
      </c>
      <c r="BF76" s="5">
        <f>IF(AU76=0,BF75,SIGN(AU76))</f>
        <v/>
      </c>
      <c r="BG76" s="5">
        <f>BG75+IF(OR(AU76=0,BF75=0),0,IF(SIGN(AU76)&lt;&gt;BF75,1,0))</f>
        <v/>
      </c>
      <c r="BH76" s="5">
        <f>IF(AV76=0,BH75,SIGN(AV76))</f>
        <v/>
      </c>
      <c r="BI76" s="5">
        <f>BI75+IF(OR(AV76=0,BH75=0),0,IF(SIGN(AV76)&lt;&gt;BH75,1,0))</f>
        <v/>
      </c>
    </row>
    <row r="77">
      <c r="A77" s="5" t="n">
        <v>11</v>
      </c>
      <c r="B77" s="5">
        <f>AND(A77&gt;=1,A77&lt;=_zx5hja)</f>
        <v/>
      </c>
      <c r="C77" s="5">
        <f>IF(B77,(1-_zg5443)^(A77-1),0)</f>
        <v/>
      </c>
      <c r="D77" s="5">
        <f>_zt11ik*C77</f>
        <v/>
      </c>
      <c r="E77" s="5">
        <f>_z5gr99*C77</f>
        <v/>
      </c>
      <c r="F77" s="5">
        <f>_zk8d4f*D77+_zsw7bq*E77</f>
        <v/>
      </c>
      <c r="G77" s="5">
        <f>F77/(1+0.13)</f>
        <v/>
      </c>
      <c r="H77" s="5">
        <f>F77-G77</f>
        <v/>
      </c>
      <c r="I77" s="5">
        <f>IF(AND(B77,A77=_ztfkfy),_z67r2o*_z0m7ys,0)</f>
        <v/>
      </c>
      <c r="J77" s="5">
        <f>I77*0.13/(1+0.13)</f>
        <v/>
      </c>
      <c r="K77" s="5">
        <f>I77-J77</f>
        <v/>
      </c>
      <c r="L77" s="5">
        <f>N76+J77</f>
        <v/>
      </c>
      <c r="M77" s="5">
        <f>MAX(0,H77-L77)</f>
        <v/>
      </c>
      <c r="N77" s="5">
        <f>MAX(0,L77-H77)</f>
        <v/>
      </c>
      <c r="O77" s="5">
        <f>M77*0.12</f>
        <v/>
      </c>
      <c r="P77" s="5">
        <f>T76</f>
        <v/>
      </c>
      <c r="Q77" s="5">
        <f>IF(AND(B77,A77&lt;=_z2al7i),P77*_zyywx7,0)</f>
        <v/>
      </c>
      <c r="R77" s="5">
        <f>IF(AND(B77,A77&lt;=_z2al7i),_zgsfrl,0)</f>
        <v/>
      </c>
      <c r="S77" s="5">
        <f>R77-Q77</f>
        <v/>
      </c>
      <c r="T77" s="5">
        <f>MAX(0,P77-S77)</f>
        <v/>
      </c>
      <c r="U77" s="5">
        <f>IF(AND(B77,A77&lt;=_zupe8l),_zb0m7l,0)</f>
        <v/>
      </c>
      <c r="V77" s="5">
        <f>IF(AND(B77,A77&lt;=_zupe8l),_zm1wss,0)</f>
        <v/>
      </c>
      <c r="W77" s="5">
        <f>IF(AND(B77,A77&lt;=_zhf3a4),_zdqt32,0)</f>
        <v/>
      </c>
      <c r="X77" s="5">
        <f>IF((_zhsdpd="是"),IF(A77&lt;=3,0,IF(A77&lt;=6,0.5,1)),1)</f>
        <v/>
      </c>
      <c r="Y77" s="5">
        <f>_zrzkf6*X77+(1-_zrzkf6)</f>
        <v/>
      </c>
      <c r="Z77" s="5">
        <f>IF(B77,G77-_zkfhzg-O77-U77-W77-K77,0)</f>
        <v/>
      </c>
      <c r="AA77" s="5">
        <f>MAX(0,-Z76)</f>
        <v/>
      </c>
      <c r="AB77" s="5">
        <f>MIN(AA76,MAX(0,(AE76+AD76+AC76+AB76+AA76)-AF76))</f>
        <v/>
      </c>
      <c r="AC77" s="5">
        <f>MIN(AB76,MAX(0,(AE76+AD76+AC76+AB76)-AF76))</f>
        <v/>
      </c>
      <c r="AD77" s="5">
        <f>MIN(AC76,MAX(0,(AE76+AD76+AC76)-AF76))</f>
        <v/>
      </c>
      <c r="AE77" s="5">
        <f>MIN(AD76,MAX(0,(AE76+AD76)-AF76))</f>
        <v/>
      </c>
      <c r="AF77" s="5">
        <f>MIN(MAX(Z77,0),AA77+AB77+AC77+AD77+AE77)</f>
        <v/>
      </c>
      <c r="AG77" s="5">
        <f>MAX(Z77,0)-AF77</f>
        <v/>
      </c>
      <c r="AH77" s="5">
        <f>AG77*_zs8hxw*Y77</f>
        <v/>
      </c>
      <c r="AI77" s="5">
        <f>IF(B77,G77-_zkfhzg-O77-V77-W77-K77-Q77,0)</f>
        <v/>
      </c>
      <c r="AJ77" s="5">
        <f>MAX(0,-AI76)</f>
        <v/>
      </c>
      <c r="AK77" s="5">
        <f>MIN(AJ76,MAX(0,(AN76+AM76+AL76+AK76+AJ76)-AO76))</f>
        <v/>
      </c>
      <c r="AL77" s="5">
        <f>MIN(AK76,MAX(0,(AN76+AM76+AL76+AK76)-AO76))</f>
        <v/>
      </c>
      <c r="AM77" s="5">
        <f>MIN(AL76,MAX(0,(AN76+AM76+AL76)-AO76))</f>
        <v/>
      </c>
      <c r="AN77" s="5">
        <f>MIN(AM76,MAX(0,(AN76+AM76)-AO76))</f>
        <v/>
      </c>
      <c r="AO77" s="5">
        <f>MIN(MAX(AI77,0),AJ77+AK77+AL77+AM77+AN77)</f>
        <v/>
      </c>
      <c r="AP77" s="5">
        <f>MAX(AI77,0)-AO77</f>
        <v/>
      </c>
      <c r="AQ77" s="5">
        <f>AP77*_zs8hxw*Y77</f>
        <v/>
      </c>
      <c r="AR77" s="5">
        <f>IF(A77=_zx5hja,_zlajvq,0)</f>
        <v/>
      </c>
      <c r="AS77" s="5">
        <f>IF(A77=_zx5hja,_zyh8pc,0)</f>
        <v/>
      </c>
      <c r="AT77" s="5">
        <f>IF(B77,F77-_zkfhzg-M77-O77-I77+AR77,0)</f>
        <v/>
      </c>
      <c r="AU77" s="5">
        <f>AT77-AH77</f>
        <v/>
      </c>
      <c r="AV77" s="5">
        <f>IF(B77,F77-_zkfhzg-M77-O77-I77-R77-AQ77+AS77-IF(AND(A77=_zx5hja,_z2al7i&gt;_zx5hja),T77,0),0)</f>
        <v/>
      </c>
      <c r="AW77" s="5">
        <f>AW76+AU77</f>
        <v/>
      </c>
      <c r="AX77" s="5">
        <f>IF(AND(AW76&lt;0,AW77&gt;=0,AU77&gt;0),1,0)</f>
        <v/>
      </c>
      <c r="AY77" s="5">
        <f>AU77/(1+_zawtbl)^A77</f>
        <v/>
      </c>
      <c r="AZ77" s="5">
        <f>AZ76+AY77</f>
        <v/>
      </c>
      <c r="BA77" s="5">
        <f>IF(AND(AZ76&lt;0,AZ77&gt;=0,AY77&gt;0),1,0)</f>
        <v/>
      </c>
      <c r="BB77" s="5">
        <f>_zs8nv3*C77</f>
        <v/>
      </c>
      <c r="BC77" s="5">
        <f>IF(B77,_zkfhzg+K77-AR77,0)</f>
        <v/>
      </c>
      <c r="BD77" s="5">
        <f>IF(AT77=0,BD76,SIGN(AT77))</f>
        <v/>
      </c>
      <c r="BE77" s="5">
        <f>BE76+IF(OR(AT77=0,BD76=0),0,IF(SIGN(AT77)&lt;&gt;BD76,1,0))</f>
        <v/>
      </c>
      <c r="BF77" s="5">
        <f>IF(AU77=0,BF76,SIGN(AU77))</f>
        <v/>
      </c>
      <c r="BG77" s="5">
        <f>BG76+IF(OR(AU77=0,BF76=0),0,IF(SIGN(AU77)&lt;&gt;BF76,1,0))</f>
        <v/>
      </c>
      <c r="BH77" s="5">
        <f>IF(AV77=0,BH76,SIGN(AV77))</f>
        <v/>
      </c>
      <c r="BI77" s="5">
        <f>BI76+IF(OR(AV77=0,BH76=0),0,IF(SIGN(AV77)&lt;&gt;BH76,1,0))</f>
        <v/>
      </c>
    </row>
    <row r="78">
      <c r="A78" s="5" t="n">
        <v>12</v>
      </c>
      <c r="B78" s="5">
        <f>AND(A78&gt;=1,A78&lt;=_zx5hja)</f>
        <v/>
      </c>
      <c r="C78" s="5">
        <f>IF(B78,(1-_zg5443)^(A78-1),0)</f>
        <v/>
      </c>
      <c r="D78" s="5">
        <f>_zt11ik*C78</f>
        <v/>
      </c>
      <c r="E78" s="5">
        <f>_z5gr99*C78</f>
        <v/>
      </c>
      <c r="F78" s="5">
        <f>_zk8d4f*D78+_zsw7bq*E78</f>
        <v/>
      </c>
      <c r="G78" s="5">
        <f>F78/(1+0.13)</f>
        <v/>
      </c>
      <c r="H78" s="5">
        <f>F78-G78</f>
        <v/>
      </c>
      <c r="I78" s="5">
        <f>IF(AND(B78,A78=_ztfkfy),_z67r2o*_z0m7ys,0)</f>
        <v/>
      </c>
      <c r="J78" s="5">
        <f>I78*0.13/(1+0.13)</f>
        <v/>
      </c>
      <c r="K78" s="5">
        <f>I78-J78</f>
        <v/>
      </c>
      <c r="L78" s="5">
        <f>N77+J78</f>
        <v/>
      </c>
      <c r="M78" s="5">
        <f>MAX(0,H78-L78)</f>
        <v/>
      </c>
      <c r="N78" s="5">
        <f>MAX(0,L78-H78)</f>
        <v/>
      </c>
      <c r="O78" s="5">
        <f>M78*0.12</f>
        <v/>
      </c>
      <c r="P78" s="5">
        <f>T77</f>
        <v/>
      </c>
      <c r="Q78" s="5">
        <f>IF(AND(B78,A78&lt;=_z2al7i),P78*_zyywx7,0)</f>
        <v/>
      </c>
      <c r="R78" s="5">
        <f>IF(AND(B78,A78&lt;=_z2al7i),_zgsfrl,0)</f>
        <v/>
      </c>
      <c r="S78" s="5">
        <f>R78-Q78</f>
        <v/>
      </c>
      <c r="T78" s="5">
        <f>MAX(0,P78-S78)</f>
        <v/>
      </c>
      <c r="U78" s="5">
        <f>IF(AND(B78,A78&lt;=_zupe8l),_zb0m7l,0)</f>
        <v/>
      </c>
      <c r="V78" s="5">
        <f>IF(AND(B78,A78&lt;=_zupe8l),_zm1wss,0)</f>
        <v/>
      </c>
      <c r="W78" s="5">
        <f>IF(AND(B78,A78&lt;=_zhf3a4),_zdqt32,0)</f>
        <v/>
      </c>
      <c r="X78" s="5">
        <f>IF((_zhsdpd="是"),IF(A78&lt;=3,0,IF(A78&lt;=6,0.5,1)),1)</f>
        <v/>
      </c>
      <c r="Y78" s="5">
        <f>_zrzkf6*X78+(1-_zrzkf6)</f>
        <v/>
      </c>
      <c r="Z78" s="5">
        <f>IF(B78,G78-_zkfhzg-O78-U78-W78-K78,0)</f>
        <v/>
      </c>
      <c r="AA78" s="5">
        <f>MAX(0,-Z77)</f>
        <v/>
      </c>
      <c r="AB78" s="5">
        <f>MIN(AA77,MAX(0,(AE77+AD77+AC77+AB77+AA77)-AF77))</f>
        <v/>
      </c>
      <c r="AC78" s="5">
        <f>MIN(AB77,MAX(0,(AE77+AD77+AC77+AB77)-AF77))</f>
        <v/>
      </c>
      <c r="AD78" s="5">
        <f>MIN(AC77,MAX(0,(AE77+AD77+AC77)-AF77))</f>
        <v/>
      </c>
      <c r="AE78" s="5">
        <f>MIN(AD77,MAX(0,(AE77+AD77)-AF77))</f>
        <v/>
      </c>
      <c r="AF78" s="5">
        <f>MIN(MAX(Z78,0),AA78+AB78+AC78+AD78+AE78)</f>
        <v/>
      </c>
      <c r="AG78" s="5">
        <f>MAX(Z78,0)-AF78</f>
        <v/>
      </c>
      <c r="AH78" s="5">
        <f>AG78*_zs8hxw*Y78</f>
        <v/>
      </c>
      <c r="AI78" s="5">
        <f>IF(B78,G78-_zkfhzg-O78-V78-W78-K78-Q78,0)</f>
        <v/>
      </c>
      <c r="AJ78" s="5">
        <f>MAX(0,-AI77)</f>
        <v/>
      </c>
      <c r="AK78" s="5">
        <f>MIN(AJ77,MAX(0,(AN77+AM77+AL77+AK77+AJ77)-AO77))</f>
        <v/>
      </c>
      <c r="AL78" s="5">
        <f>MIN(AK77,MAX(0,(AN77+AM77+AL77+AK77)-AO77))</f>
        <v/>
      </c>
      <c r="AM78" s="5">
        <f>MIN(AL77,MAX(0,(AN77+AM77+AL77)-AO77))</f>
        <v/>
      </c>
      <c r="AN78" s="5">
        <f>MIN(AM77,MAX(0,(AN77+AM77)-AO77))</f>
        <v/>
      </c>
      <c r="AO78" s="5">
        <f>MIN(MAX(AI78,0),AJ78+AK78+AL78+AM78+AN78)</f>
        <v/>
      </c>
      <c r="AP78" s="5">
        <f>MAX(AI78,0)-AO78</f>
        <v/>
      </c>
      <c r="AQ78" s="5">
        <f>AP78*_zs8hxw*Y78</f>
        <v/>
      </c>
      <c r="AR78" s="5">
        <f>IF(A78=_zx5hja,_zlajvq,0)</f>
        <v/>
      </c>
      <c r="AS78" s="5">
        <f>IF(A78=_zx5hja,_zyh8pc,0)</f>
        <v/>
      </c>
      <c r="AT78" s="5">
        <f>IF(B78,F78-_zkfhzg-M78-O78-I78+AR78,0)</f>
        <v/>
      </c>
      <c r="AU78" s="5">
        <f>AT78-AH78</f>
        <v/>
      </c>
      <c r="AV78" s="5">
        <f>IF(B78,F78-_zkfhzg-M78-O78-I78-R78-AQ78+AS78-IF(AND(A78=_zx5hja,_z2al7i&gt;_zx5hja),T78,0),0)</f>
        <v/>
      </c>
      <c r="AW78" s="5">
        <f>AW77+AU78</f>
        <v/>
      </c>
      <c r="AX78" s="5">
        <f>IF(AND(AW77&lt;0,AW78&gt;=0,AU78&gt;0),1,0)</f>
        <v/>
      </c>
      <c r="AY78" s="5">
        <f>AU78/(1+_zawtbl)^A78</f>
        <v/>
      </c>
      <c r="AZ78" s="5">
        <f>AZ77+AY78</f>
        <v/>
      </c>
      <c r="BA78" s="5">
        <f>IF(AND(AZ77&lt;0,AZ78&gt;=0,AY78&gt;0),1,0)</f>
        <v/>
      </c>
      <c r="BB78" s="5">
        <f>_zs8nv3*C78</f>
        <v/>
      </c>
      <c r="BC78" s="5">
        <f>IF(B78,_zkfhzg+K78-AR78,0)</f>
        <v/>
      </c>
      <c r="BD78" s="5">
        <f>IF(AT78=0,BD77,SIGN(AT78))</f>
        <v/>
      </c>
      <c r="BE78" s="5">
        <f>BE77+IF(OR(AT78=0,BD77=0),0,IF(SIGN(AT78)&lt;&gt;BD77,1,0))</f>
        <v/>
      </c>
      <c r="BF78" s="5">
        <f>IF(AU78=0,BF77,SIGN(AU78))</f>
        <v/>
      </c>
      <c r="BG78" s="5">
        <f>BG77+IF(OR(AU78=0,BF77=0),0,IF(SIGN(AU78)&lt;&gt;BF77,1,0))</f>
        <v/>
      </c>
      <c r="BH78" s="5">
        <f>IF(AV78=0,BH77,SIGN(AV78))</f>
        <v/>
      </c>
      <c r="BI78" s="5">
        <f>BI77+IF(OR(AV78=0,BH77=0),0,IF(SIGN(AV78)&lt;&gt;BH77,1,0))</f>
        <v/>
      </c>
    </row>
    <row r="79">
      <c r="A79" s="5" t="n">
        <v>13</v>
      </c>
      <c r="B79" s="5">
        <f>AND(A79&gt;=1,A79&lt;=_zx5hja)</f>
        <v/>
      </c>
      <c r="C79" s="5">
        <f>IF(B79,(1-_zg5443)^(A79-1),0)</f>
        <v/>
      </c>
      <c r="D79" s="5">
        <f>_zt11ik*C79</f>
        <v/>
      </c>
      <c r="E79" s="5">
        <f>_z5gr99*C79</f>
        <v/>
      </c>
      <c r="F79" s="5">
        <f>_zk8d4f*D79+_zsw7bq*E79</f>
        <v/>
      </c>
      <c r="G79" s="5">
        <f>F79/(1+0.13)</f>
        <v/>
      </c>
      <c r="H79" s="5">
        <f>F79-G79</f>
        <v/>
      </c>
      <c r="I79" s="5">
        <f>IF(AND(B79,A79=_ztfkfy),_z67r2o*_z0m7ys,0)</f>
        <v/>
      </c>
      <c r="J79" s="5">
        <f>I79*0.13/(1+0.13)</f>
        <v/>
      </c>
      <c r="K79" s="5">
        <f>I79-J79</f>
        <v/>
      </c>
      <c r="L79" s="5">
        <f>N78+J79</f>
        <v/>
      </c>
      <c r="M79" s="5">
        <f>MAX(0,H79-L79)</f>
        <v/>
      </c>
      <c r="N79" s="5">
        <f>MAX(0,L79-H79)</f>
        <v/>
      </c>
      <c r="O79" s="5">
        <f>M79*0.12</f>
        <v/>
      </c>
      <c r="P79" s="5">
        <f>T78</f>
        <v/>
      </c>
      <c r="Q79" s="5">
        <f>IF(AND(B79,A79&lt;=_z2al7i),P79*_zyywx7,0)</f>
        <v/>
      </c>
      <c r="R79" s="5">
        <f>IF(AND(B79,A79&lt;=_z2al7i),_zgsfrl,0)</f>
        <v/>
      </c>
      <c r="S79" s="5">
        <f>R79-Q79</f>
        <v/>
      </c>
      <c r="T79" s="5">
        <f>MAX(0,P79-S79)</f>
        <v/>
      </c>
      <c r="U79" s="5">
        <f>IF(AND(B79,A79&lt;=_zupe8l),_zb0m7l,0)</f>
        <v/>
      </c>
      <c r="V79" s="5">
        <f>IF(AND(B79,A79&lt;=_zupe8l),_zm1wss,0)</f>
        <v/>
      </c>
      <c r="W79" s="5">
        <f>IF(AND(B79,A79&lt;=_zhf3a4),_zdqt32,0)</f>
        <v/>
      </c>
      <c r="X79" s="5">
        <f>IF((_zhsdpd="是"),IF(A79&lt;=3,0,IF(A79&lt;=6,0.5,1)),1)</f>
        <v/>
      </c>
      <c r="Y79" s="5">
        <f>_zrzkf6*X79+(1-_zrzkf6)</f>
        <v/>
      </c>
      <c r="Z79" s="5">
        <f>IF(B79,G79-_zkfhzg-O79-U79-W79-K79,0)</f>
        <v/>
      </c>
      <c r="AA79" s="5">
        <f>MAX(0,-Z78)</f>
        <v/>
      </c>
      <c r="AB79" s="5">
        <f>MIN(AA78,MAX(0,(AE78+AD78+AC78+AB78+AA78)-AF78))</f>
        <v/>
      </c>
      <c r="AC79" s="5">
        <f>MIN(AB78,MAX(0,(AE78+AD78+AC78+AB78)-AF78))</f>
        <v/>
      </c>
      <c r="AD79" s="5">
        <f>MIN(AC78,MAX(0,(AE78+AD78+AC78)-AF78))</f>
        <v/>
      </c>
      <c r="AE79" s="5">
        <f>MIN(AD78,MAX(0,(AE78+AD78)-AF78))</f>
        <v/>
      </c>
      <c r="AF79" s="5">
        <f>MIN(MAX(Z79,0),AA79+AB79+AC79+AD79+AE79)</f>
        <v/>
      </c>
      <c r="AG79" s="5">
        <f>MAX(Z79,0)-AF79</f>
        <v/>
      </c>
      <c r="AH79" s="5">
        <f>AG79*_zs8hxw*Y79</f>
        <v/>
      </c>
      <c r="AI79" s="5">
        <f>IF(B79,G79-_zkfhzg-O79-V79-W79-K79-Q79,0)</f>
        <v/>
      </c>
      <c r="AJ79" s="5">
        <f>MAX(0,-AI78)</f>
        <v/>
      </c>
      <c r="AK79" s="5">
        <f>MIN(AJ78,MAX(0,(AN78+AM78+AL78+AK78+AJ78)-AO78))</f>
        <v/>
      </c>
      <c r="AL79" s="5">
        <f>MIN(AK78,MAX(0,(AN78+AM78+AL78+AK78)-AO78))</f>
        <v/>
      </c>
      <c r="AM79" s="5">
        <f>MIN(AL78,MAX(0,(AN78+AM78+AL78)-AO78))</f>
        <v/>
      </c>
      <c r="AN79" s="5">
        <f>MIN(AM78,MAX(0,(AN78+AM78)-AO78))</f>
        <v/>
      </c>
      <c r="AO79" s="5">
        <f>MIN(MAX(AI79,0),AJ79+AK79+AL79+AM79+AN79)</f>
        <v/>
      </c>
      <c r="AP79" s="5">
        <f>MAX(AI79,0)-AO79</f>
        <v/>
      </c>
      <c r="AQ79" s="5">
        <f>AP79*_zs8hxw*Y79</f>
        <v/>
      </c>
      <c r="AR79" s="5">
        <f>IF(A79=_zx5hja,_zlajvq,0)</f>
        <v/>
      </c>
      <c r="AS79" s="5">
        <f>IF(A79=_zx5hja,_zyh8pc,0)</f>
        <v/>
      </c>
      <c r="AT79" s="5">
        <f>IF(B79,F79-_zkfhzg-M79-O79-I79+AR79,0)</f>
        <v/>
      </c>
      <c r="AU79" s="5">
        <f>AT79-AH79</f>
        <v/>
      </c>
      <c r="AV79" s="5">
        <f>IF(B79,F79-_zkfhzg-M79-O79-I79-R79-AQ79+AS79-IF(AND(A79=_zx5hja,_z2al7i&gt;_zx5hja),T79,0),0)</f>
        <v/>
      </c>
      <c r="AW79" s="5">
        <f>AW78+AU79</f>
        <v/>
      </c>
      <c r="AX79" s="5">
        <f>IF(AND(AW78&lt;0,AW79&gt;=0,AU79&gt;0),1,0)</f>
        <v/>
      </c>
      <c r="AY79" s="5">
        <f>AU79/(1+_zawtbl)^A79</f>
        <v/>
      </c>
      <c r="AZ79" s="5">
        <f>AZ78+AY79</f>
        <v/>
      </c>
      <c r="BA79" s="5">
        <f>IF(AND(AZ78&lt;0,AZ79&gt;=0,AY79&gt;0),1,0)</f>
        <v/>
      </c>
      <c r="BB79" s="5">
        <f>_zs8nv3*C79</f>
        <v/>
      </c>
      <c r="BC79" s="5">
        <f>IF(B79,_zkfhzg+K79-AR79,0)</f>
        <v/>
      </c>
      <c r="BD79" s="5">
        <f>IF(AT79=0,BD78,SIGN(AT79))</f>
        <v/>
      </c>
      <c r="BE79" s="5">
        <f>BE78+IF(OR(AT79=0,BD78=0),0,IF(SIGN(AT79)&lt;&gt;BD78,1,0))</f>
        <v/>
      </c>
      <c r="BF79" s="5">
        <f>IF(AU79=0,BF78,SIGN(AU79))</f>
        <v/>
      </c>
      <c r="BG79" s="5">
        <f>BG78+IF(OR(AU79=0,BF78=0),0,IF(SIGN(AU79)&lt;&gt;BF78,1,0))</f>
        <v/>
      </c>
      <c r="BH79" s="5">
        <f>IF(AV79=0,BH78,SIGN(AV79))</f>
        <v/>
      </c>
      <c r="BI79" s="5">
        <f>BI78+IF(OR(AV79=0,BH78=0),0,IF(SIGN(AV79)&lt;&gt;BH78,1,0))</f>
        <v/>
      </c>
    </row>
    <row r="80">
      <c r="A80" s="5" t="n">
        <v>14</v>
      </c>
      <c r="B80" s="5">
        <f>AND(A80&gt;=1,A80&lt;=_zx5hja)</f>
        <v/>
      </c>
      <c r="C80" s="5">
        <f>IF(B80,(1-_zg5443)^(A80-1),0)</f>
        <v/>
      </c>
      <c r="D80" s="5">
        <f>_zt11ik*C80</f>
        <v/>
      </c>
      <c r="E80" s="5">
        <f>_z5gr99*C80</f>
        <v/>
      </c>
      <c r="F80" s="5">
        <f>_zk8d4f*D80+_zsw7bq*E80</f>
        <v/>
      </c>
      <c r="G80" s="5">
        <f>F80/(1+0.13)</f>
        <v/>
      </c>
      <c r="H80" s="5">
        <f>F80-G80</f>
        <v/>
      </c>
      <c r="I80" s="5">
        <f>IF(AND(B80,A80=_ztfkfy),_z67r2o*_z0m7ys,0)</f>
        <v/>
      </c>
      <c r="J80" s="5">
        <f>I80*0.13/(1+0.13)</f>
        <v/>
      </c>
      <c r="K80" s="5">
        <f>I80-J80</f>
        <v/>
      </c>
      <c r="L80" s="5">
        <f>N79+J80</f>
        <v/>
      </c>
      <c r="M80" s="5">
        <f>MAX(0,H80-L80)</f>
        <v/>
      </c>
      <c r="N80" s="5">
        <f>MAX(0,L80-H80)</f>
        <v/>
      </c>
      <c r="O80" s="5">
        <f>M80*0.12</f>
        <v/>
      </c>
      <c r="P80" s="5">
        <f>T79</f>
        <v/>
      </c>
      <c r="Q80" s="5">
        <f>IF(AND(B80,A80&lt;=_z2al7i),P80*_zyywx7,0)</f>
        <v/>
      </c>
      <c r="R80" s="5">
        <f>IF(AND(B80,A80&lt;=_z2al7i),_zgsfrl,0)</f>
        <v/>
      </c>
      <c r="S80" s="5">
        <f>R80-Q80</f>
        <v/>
      </c>
      <c r="T80" s="5">
        <f>MAX(0,P80-S80)</f>
        <v/>
      </c>
      <c r="U80" s="5">
        <f>IF(AND(B80,A80&lt;=_zupe8l),_zb0m7l,0)</f>
        <v/>
      </c>
      <c r="V80" s="5">
        <f>IF(AND(B80,A80&lt;=_zupe8l),_zm1wss,0)</f>
        <v/>
      </c>
      <c r="W80" s="5">
        <f>IF(AND(B80,A80&lt;=_zhf3a4),_zdqt32,0)</f>
        <v/>
      </c>
      <c r="X80" s="5">
        <f>IF((_zhsdpd="是"),IF(A80&lt;=3,0,IF(A80&lt;=6,0.5,1)),1)</f>
        <v/>
      </c>
      <c r="Y80" s="5">
        <f>_zrzkf6*X80+(1-_zrzkf6)</f>
        <v/>
      </c>
      <c r="Z80" s="5">
        <f>IF(B80,G80-_zkfhzg-O80-U80-W80-K80,0)</f>
        <v/>
      </c>
      <c r="AA80" s="5">
        <f>MAX(0,-Z79)</f>
        <v/>
      </c>
      <c r="AB80" s="5">
        <f>MIN(AA79,MAX(0,(AE79+AD79+AC79+AB79+AA79)-AF79))</f>
        <v/>
      </c>
      <c r="AC80" s="5">
        <f>MIN(AB79,MAX(0,(AE79+AD79+AC79+AB79)-AF79))</f>
        <v/>
      </c>
      <c r="AD80" s="5">
        <f>MIN(AC79,MAX(0,(AE79+AD79+AC79)-AF79))</f>
        <v/>
      </c>
      <c r="AE80" s="5">
        <f>MIN(AD79,MAX(0,(AE79+AD79)-AF79))</f>
        <v/>
      </c>
      <c r="AF80" s="5">
        <f>MIN(MAX(Z80,0),AA80+AB80+AC80+AD80+AE80)</f>
        <v/>
      </c>
      <c r="AG80" s="5">
        <f>MAX(Z80,0)-AF80</f>
        <v/>
      </c>
      <c r="AH80" s="5">
        <f>AG80*_zs8hxw*Y80</f>
        <v/>
      </c>
      <c r="AI80" s="5">
        <f>IF(B80,G80-_zkfhzg-O80-V80-W80-K80-Q80,0)</f>
        <v/>
      </c>
      <c r="AJ80" s="5">
        <f>MAX(0,-AI79)</f>
        <v/>
      </c>
      <c r="AK80" s="5">
        <f>MIN(AJ79,MAX(0,(AN79+AM79+AL79+AK79+AJ79)-AO79))</f>
        <v/>
      </c>
      <c r="AL80" s="5">
        <f>MIN(AK79,MAX(0,(AN79+AM79+AL79+AK79)-AO79))</f>
        <v/>
      </c>
      <c r="AM80" s="5">
        <f>MIN(AL79,MAX(0,(AN79+AM79+AL79)-AO79))</f>
        <v/>
      </c>
      <c r="AN80" s="5">
        <f>MIN(AM79,MAX(0,(AN79+AM79)-AO79))</f>
        <v/>
      </c>
      <c r="AO80" s="5">
        <f>MIN(MAX(AI80,0),AJ80+AK80+AL80+AM80+AN80)</f>
        <v/>
      </c>
      <c r="AP80" s="5">
        <f>MAX(AI80,0)-AO80</f>
        <v/>
      </c>
      <c r="AQ80" s="5">
        <f>AP80*_zs8hxw*Y80</f>
        <v/>
      </c>
      <c r="AR80" s="5">
        <f>IF(A80=_zx5hja,_zlajvq,0)</f>
        <v/>
      </c>
      <c r="AS80" s="5">
        <f>IF(A80=_zx5hja,_zyh8pc,0)</f>
        <v/>
      </c>
      <c r="AT80" s="5">
        <f>IF(B80,F80-_zkfhzg-M80-O80-I80+AR80,0)</f>
        <v/>
      </c>
      <c r="AU80" s="5">
        <f>AT80-AH80</f>
        <v/>
      </c>
      <c r="AV80" s="5">
        <f>IF(B80,F80-_zkfhzg-M80-O80-I80-R80-AQ80+AS80-IF(AND(A80=_zx5hja,_z2al7i&gt;_zx5hja),T80,0),0)</f>
        <v/>
      </c>
      <c r="AW80" s="5">
        <f>AW79+AU80</f>
        <v/>
      </c>
      <c r="AX80" s="5">
        <f>IF(AND(AW79&lt;0,AW80&gt;=0,AU80&gt;0),1,0)</f>
        <v/>
      </c>
      <c r="AY80" s="5">
        <f>AU80/(1+_zawtbl)^A80</f>
        <v/>
      </c>
      <c r="AZ80" s="5">
        <f>AZ79+AY80</f>
        <v/>
      </c>
      <c r="BA80" s="5">
        <f>IF(AND(AZ79&lt;0,AZ80&gt;=0,AY80&gt;0),1,0)</f>
        <v/>
      </c>
      <c r="BB80" s="5">
        <f>_zs8nv3*C80</f>
        <v/>
      </c>
      <c r="BC80" s="5">
        <f>IF(B80,_zkfhzg+K80-AR80,0)</f>
        <v/>
      </c>
      <c r="BD80" s="5">
        <f>IF(AT80=0,BD79,SIGN(AT80))</f>
        <v/>
      </c>
      <c r="BE80" s="5">
        <f>BE79+IF(OR(AT80=0,BD79=0),0,IF(SIGN(AT80)&lt;&gt;BD79,1,0))</f>
        <v/>
      </c>
      <c r="BF80" s="5">
        <f>IF(AU80=0,BF79,SIGN(AU80))</f>
        <v/>
      </c>
      <c r="BG80" s="5">
        <f>BG79+IF(OR(AU80=0,BF79=0),0,IF(SIGN(AU80)&lt;&gt;BF79,1,0))</f>
        <v/>
      </c>
      <c r="BH80" s="5">
        <f>IF(AV80=0,BH79,SIGN(AV80))</f>
        <v/>
      </c>
      <c r="BI80" s="5">
        <f>BI79+IF(OR(AV80=0,BH79=0),0,IF(SIGN(AV80)&lt;&gt;BH79,1,0))</f>
        <v/>
      </c>
    </row>
    <row r="81">
      <c r="A81" s="5" t="n">
        <v>15</v>
      </c>
      <c r="B81" s="5">
        <f>AND(A81&gt;=1,A81&lt;=_zx5hja)</f>
        <v/>
      </c>
      <c r="C81" s="5">
        <f>IF(B81,(1-_zg5443)^(A81-1),0)</f>
        <v/>
      </c>
      <c r="D81" s="5">
        <f>_zt11ik*C81</f>
        <v/>
      </c>
      <c r="E81" s="5">
        <f>_z5gr99*C81</f>
        <v/>
      </c>
      <c r="F81" s="5">
        <f>_zk8d4f*D81+_zsw7bq*E81</f>
        <v/>
      </c>
      <c r="G81" s="5">
        <f>F81/(1+0.13)</f>
        <v/>
      </c>
      <c r="H81" s="5">
        <f>F81-G81</f>
        <v/>
      </c>
      <c r="I81" s="5">
        <f>IF(AND(B81,A81=_ztfkfy),_z67r2o*_z0m7ys,0)</f>
        <v/>
      </c>
      <c r="J81" s="5">
        <f>I81*0.13/(1+0.13)</f>
        <v/>
      </c>
      <c r="K81" s="5">
        <f>I81-J81</f>
        <v/>
      </c>
      <c r="L81" s="5">
        <f>N80+J81</f>
        <v/>
      </c>
      <c r="M81" s="5">
        <f>MAX(0,H81-L81)</f>
        <v/>
      </c>
      <c r="N81" s="5">
        <f>MAX(0,L81-H81)</f>
        <v/>
      </c>
      <c r="O81" s="5">
        <f>M81*0.12</f>
        <v/>
      </c>
      <c r="P81" s="5">
        <f>T80</f>
        <v/>
      </c>
      <c r="Q81" s="5">
        <f>IF(AND(B81,A81&lt;=_z2al7i),P81*_zyywx7,0)</f>
        <v/>
      </c>
      <c r="R81" s="5">
        <f>IF(AND(B81,A81&lt;=_z2al7i),_zgsfrl,0)</f>
        <v/>
      </c>
      <c r="S81" s="5">
        <f>R81-Q81</f>
        <v/>
      </c>
      <c r="T81" s="5">
        <f>MAX(0,P81-S81)</f>
        <v/>
      </c>
      <c r="U81" s="5">
        <f>IF(AND(B81,A81&lt;=_zupe8l),_zb0m7l,0)</f>
        <v/>
      </c>
      <c r="V81" s="5">
        <f>IF(AND(B81,A81&lt;=_zupe8l),_zm1wss,0)</f>
        <v/>
      </c>
      <c r="W81" s="5">
        <f>IF(AND(B81,A81&lt;=_zhf3a4),_zdqt32,0)</f>
        <v/>
      </c>
      <c r="X81" s="5">
        <f>IF((_zhsdpd="是"),IF(A81&lt;=3,0,IF(A81&lt;=6,0.5,1)),1)</f>
        <v/>
      </c>
      <c r="Y81" s="5">
        <f>_zrzkf6*X81+(1-_zrzkf6)</f>
        <v/>
      </c>
      <c r="Z81" s="5">
        <f>IF(B81,G81-_zkfhzg-O81-U81-W81-K81,0)</f>
        <v/>
      </c>
      <c r="AA81" s="5">
        <f>MAX(0,-Z80)</f>
        <v/>
      </c>
      <c r="AB81" s="5">
        <f>MIN(AA80,MAX(0,(AE80+AD80+AC80+AB80+AA80)-AF80))</f>
        <v/>
      </c>
      <c r="AC81" s="5">
        <f>MIN(AB80,MAX(0,(AE80+AD80+AC80+AB80)-AF80))</f>
        <v/>
      </c>
      <c r="AD81" s="5">
        <f>MIN(AC80,MAX(0,(AE80+AD80+AC80)-AF80))</f>
        <v/>
      </c>
      <c r="AE81" s="5">
        <f>MIN(AD80,MAX(0,(AE80+AD80)-AF80))</f>
        <v/>
      </c>
      <c r="AF81" s="5">
        <f>MIN(MAX(Z81,0),AA81+AB81+AC81+AD81+AE81)</f>
        <v/>
      </c>
      <c r="AG81" s="5">
        <f>MAX(Z81,0)-AF81</f>
        <v/>
      </c>
      <c r="AH81" s="5">
        <f>AG81*_zs8hxw*Y81</f>
        <v/>
      </c>
      <c r="AI81" s="5">
        <f>IF(B81,G81-_zkfhzg-O81-V81-W81-K81-Q81,0)</f>
        <v/>
      </c>
      <c r="AJ81" s="5">
        <f>MAX(0,-AI80)</f>
        <v/>
      </c>
      <c r="AK81" s="5">
        <f>MIN(AJ80,MAX(0,(AN80+AM80+AL80+AK80+AJ80)-AO80))</f>
        <v/>
      </c>
      <c r="AL81" s="5">
        <f>MIN(AK80,MAX(0,(AN80+AM80+AL80+AK80)-AO80))</f>
        <v/>
      </c>
      <c r="AM81" s="5">
        <f>MIN(AL80,MAX(0,(AN80+AM80+AL80)-AO80))</f>
        <v/>
      </c>
      <c r="AN81" s="5">
        <f>MIN(AM80,MAX(0,(AN80+AM80)-AO80))</f>
        <v/>
      </c>
      <c r="AO81" s="5">
        <f>MIN(MAX(AI81,0),AJ81+AK81+AL81+AM81+AN81)</f>
        <v/>
      </c>
      <c r="AP81" s="5">
        <f>MAX(AI81,0)-AO81</f>
        <v/>
      </c>
      <c r="AQ81" s="5">
        <f>AP81*_zs8hxw*Y81</f>
        <v/>
      </c>
      <c r="AR81" s="5">
        <f>IF(A81=_zx5hja,_zlajvq,0)</f>
        <v/>
      </c>
      <c r="AS81" s="5">
        <f>IF(A81=_zx5hja,_zyh8pc,0)</f>
        <v/>
      </c>
      <c r="AT81" s="5">
        <f>IF(B81,F81-_zkfhzg-M81-O81-I81+AR81,0)</f>
        <v/>
      </c>
      <c r="AU81" s="5">
        <f>AT81-AH81</f>
        <v/>
      </c>
      <c r="AV81" s="5">
        <f>IF(B81,F81-_zkfhzg-M81-O81-I81-R81-AQ81+AS81-IF(AND(A81=_zx5hja,_z2al7i&gt;_zx5hja),T81,0),0)</f>
        <v/>
      </c>
      <c r="AW81" s="5">
        <f>AW80+AU81</f>
        <v/>
      </c>
      <c r="AX81" s="5">
        <f>IF(AND(AW80&lt;0,AW81&gt;=0,AU81&gt;0),1,0)</f>
        <v/>
      </c>
      <c r="AY81" s="5">
        <f>AU81/(1+_zawtbl)^A81</f>
        <v/>
      </c>
      <c r="AZ81" s="5">
        <f>AZ80+AY81</f>
        <v/>
      </c>
      <c r="BA81" s="5">
        <f>IF(AND(AZ80&lt;0,AZ81&gt;=0,AY81&gt;0),1,0)</f>
        <v/>
      </c>
      <c r="BB81" s="5">
        <f>_zs8nv3*C81</f>
        <v/>
      </c>
      <c r="BC81" s="5">
        <f>IF(B81,_zkfhzg+K81-AR81,0)</f>
        <v/>
      </c>
      <c r="BD81" s="5">
        <f>IF(AT81=0,BD80,SIGN(AT81))</f>
        <v/>
      </c>
      <c r="BE81" s="5">
        <f>BE80+IF(OR(AT81=0,BD80=0),0,IF(SIGN(AT81)&lt;&gt;BD80,1,0))</f>
        <v/>
      </c>
      <c r="BF81" s="5">
        <f>IF(AU81=0,BF80,SIGN(AU81))</f>
        <v/>
      </c>
      <c r="BG81" s="5">
        <f>BG80+IF(OR(AU81=0,BF80=0),0,IF(SIGN(AU81)&lt;&gt;BF80,1,0))</f>
        <v/>
      </c>
      <c r="BH81" s="5">
        <f>IF(AV81=0,BH80,SIGN(AV81))</f>
        <v/>
      </c>
      <c r="BI81" s="5">
        <f>BI80+IF(OR(AV81=0,BH80=0),0,IF(SIGN(AV81)&lt;&gt;BH80,1,0))</f>
        <v/>
      </c>
    </row>
    <row r="82">
      <c r="A82" s="5" t="n">
        <v>16</v>
      </c>
      <c r="B82" s="5">
        <f>AND(A82&gt;=1,A82&lt;=_zx5hja)</f>
        <v/>
      </c>
      <c r="C82" s="5">
        <f>IF(B82,(1-_zg5443)^(A82-1),0)</f>
        <v/>
      </c>
      <c r="D82" s="5">
        <f>_zt11ik*C82</f>
        <v/>
      </c>
      <c r="E82" s="5">
        <f>_z5gr99*C82</f>
        <v/>
      </c>
      <c r="F82" s="5">
        <f>_zk8d4f*D82+_zsw7bq*E82</f>
        <v/>
      </c>
      <c r="G82" s="5">
        <f>F82/(1+0.13)</f>
        <v/>
      </c>
      <c r="H82" s="5">
        <f>F82-G82</f>
        <v/>
      </c>
      <c r="I82" s="5">
        <f>IF(AND(B82,A82=_ztfkfy),_z67r2o*_z0m7ys,0)</f>
        <v/>
      </c>
      <c r="J82" s="5">
        <f>I82*0.13/(1+0.13)</f>
        <v/>
      </c>
      <c r="K82" s="5">
        <f>I82-J82</f>
        <v/>
      </c>
      <c r="L82" s="5">
        <f>N81+J82</f>
        <v/>
      </c>
      <c r="M82" s="5">
        <f>MAX(0,H82-L82)</f>
        <v/>
      </c>
      <c r="N82" s="5">
        <f>MAX(0,L82-H82)</f>
        <v/>
      </c>
      <c r="O82" s="5">
        <f>M82*0.12</f>
        <v/>
      </c>
      <c r="P82" s="5">
        <f>T81</f>
        <v/>
      </c>
      <c r="Q82" s="5">
        <f>IF(AND(B82,A82&lt;=_z2al7i),P82*_zyywx7,0)</f>
        <v/>
      </c>
      <c r="R82" s="5">
        <f>IF(AND(B82,A82&lt;=_z2al7i),_zgsfrl,0)</f>
        <v/>
      </c>
      <c r="S82" s="5">
        <f>R82-Q82</f>
        <v/>
      </c>
      <c r="T82" s="5">
        <f>MAX(0,P82-S82)</f>
        <v/>
      </c>
      <c r="U82" s="5">
        <f>IF(AND(B82,A82&lt;=_zupe8l),_zb0m7l,0)</f>
        <v/>
      </c>
      <c r="V82" s="5">
        <f>IF(AND(B82,A82&lt;=_zupe8l),_zm1wss,0)</f>
        <v/>
      </c>
      <c r="W82" s="5">
        <f>IF(AND(B82,A82&lt;=_zhf3a4),_zdqt32,0)</f>
        <v/>
      </c>
      <c r="X82" s="5">
        <f>IF((_zhsdpd="是"),IF(A82&lt;=3,0,IF(A82&lt;=6,0.5,1)),1)</f>
        <v/>
      </c>
      <c r="Y82" s="5">
        <f>_zrzkf6*X82+(1-_zrzkf6)</f>
        <v/>
      </c>
      <c r="Z82" s="5">
        <f>IF(B82,G82-_zkfhzg-O82-U82-W82-K82,0)</f>
        <v/>
      </c>
      <c r="AA82" s="5">
        <f>MAX(0,-Z81)</f>
        <v/>
      </c>
      <c r="AB82" s="5">
        <f>MIN(AA81,MAX(0,(AE81+AD81+AC81+AB81+AA81)-AF81))</f>
        <v/>
      </c>
      <c r="AC82" s="5">
        <f>MIN(AB81,MAX(0,(AE81+AD81+AC81+AB81)-AF81))</f>
        <v/>
      </c>
      <c r="AD82" s="5">
        <f>MIN(AC81,MAX(0,(AE81+AD81+AC81)-AF81))</f>
        <v/>
      </c>
      <c r="AE82" s="5">
        <f>MIN(AD81,MAX(0,(AE81+AD81)-AF81))</f>
        <v/>
      </c>
      <c r="AF82" s="5">
        <f>MIN(MAX(Z82,0),AA82+AB82+AC82+AD82+AE82)</f>
        <v/>
      </c>
      <c r="AG82" s="5">
        <f>MAX(Z82,0)-AF82</f>
        <v/>
      </c>
      <c r="AH82" s="5">
        <f>AG82*_zs8hxw*Y82</f>
        <v/>
      </c>
      <c r="AI82" s="5">
        <f>IF(B82,G82-_zkfhzg-O82-V82-W82-K82-Q82,0)</f>
        <v/>
      </c>
      <c r="AJ82" s="5">
        <f>MAX(0,-AI81)</f>
        <v/>
      </c>
      <c r="AK82" s="5">
        <f>MIN(AJ81,MAX(0,(AN81+AM81+AL81+AK81+AJ81)-AO81))</f>
        <v/>
      </c>
      <c r="AL82" s="5">
        <f>MIN(AK81,MAX(0,(AN81+AM81+AL81+AK81)-AO81))</f>
        <v/>
      </c>
      <c r="AM82" s="5">
        <f>MIN(AL81,MAX(0,(AN81+AM81+AL81)-AO81))</f>
        <v/>
      </c>
      <c r="AN82" s="5">
        <f>MIN(AM81,MAX(0,(AN81+AM81)-AO81))</f>
        <v/>
      </c>
      <c r="AO82" s="5">
        <f>MIN(MAX(AI82,0),AJ82+AK82+AL82+AM82+AN82)</f>
        <v/>
      </c>
      <c r="AP82" s="5">
        <f>MAX(AI82,0)-AO82</f>
        <v/>
      </c>
      <c r="AQ82" s="5">
        <f>AP82*_zs8hxw*Y82</f>
        <v/>
      </c>
      <c r="AR82" s="5">
        <f>IF(A82=_zx5hja,_zlajvq,0)</f>
        <v/>
      </c>
      <c r="AS82" s="5">
        <f>IF(A82=_zx5hja,_zyh8pc,0)</f>
        <v/>
      </c>
      <c r="AT82" s="5">
        <f>IF(B82,F82-_zkfhzg-M82-O82-I82+AR82,0)</f>
        <v/>
      </c>
      <c r="AU82" s="5">
        <f>AT82-AH82</f>
        <v/>
      </c>
      <c r="AV82" s="5">
        <f>IF(B82,F82-_zkfhzg-M82-O82-I82-R82-AQ82+AS82-IF(AND(A82=_zx5hja,_z2al7i&gt;_zx5hja),T82,0),0)</f>
        <v/>
      </c>
      <c r="AW82" s="5">
        <f>AW81+AU82</f>
        <v/>
      </c>
      <c r="AX82" s="5">
        <f>IF(AND(AW81&lt;0,AW82&gt;=0,AU82&gt;0),1,0)</f>
        <v/>
      </c>
      <c r="AY82" s="5">
        <f>AU82/(1+_zawtbl)^A82</f>
        <v/>
      </c>
      <c r="AZ82" s="5">
        <f>AZ81+AY82</f>
        <v/>
      </c>
      <c r="BA82" s="5">
        <f>IF(AND(AZ81&lt;0,AZ82&gt;=0,AY82&gt;0),1,0)</f>
        <v/>
      </c>
      <c r="BB82" s="5">
        <f>_zs8nv3*C82</f>
        <v/>
      </c>
      <c r="BC82" s="5">
        <f>IF(B82,_zkfhzg+K82-AR82,0)</f>
        <v/>
      </c>
      <c r="BD82" s="5">
        <f>IF(AT82=0,BD81,SIGN(AT82))</f>
        <v/>
      </c>
      <c r="BE82" s="5">
        <f>BE81+IF(OR(AT82=0,BD81=0),0,IF(SIGN(AT82)&lt;&gt;BD81,1,0))</f>
        <v/>
      </c>
      <c r="BF82" s="5">
        <f>IF(AU82=0,BF81,SIGN(AU82))</f>
        <v/>
      </c>
      <c r="BG82" s="5">
        <f>BG81+IF(OR(AU82=0,BF81=0),0,IF(SIGN(AU82)&lt;&gt;BF81,1,0))</f>
        <v/>
      </c>
      <c r="BH82" s="5">
        <f>IF(AV82=0,BH81,SIGN(AV82))</f>
        <v/>
      </c>
      <c r="BI82" s="5">
        <f>BI81+IF(OR(AV82=0,BH81=0),0,IF(SIGN(AV82)&lt;&gt;BH81,1,0))</f>
        <v/>
      </c>
    </row>
    <row r="83">
      <c r="A83" s="5" t="n">
        <v>17</v>
      </c>
      <c r="B83" s="5">
        <f>AND(A83&gt;=1,A83&lt;=_zx5hja)</f>
        <v/>
      </c>
      <c r="C83" s="5">
        <f>IF(B83,(1-_zg5443)^(A83-1),0)</f>
        <v/>
      </c>
      <c r="D83" s="5">
        <f>_zt11ik*C83</f>
        <v/>
      </c>
      <c r="E83" s="5">
        <f>_z5gr99*C83</f>
        <v/>
      </c>
      <c r="F83" s="5">
        <f>_zk8d4f*D83+_zsw7bq*E83</f>
        <v/>
      </c>
      <c r="G83" s="5">
        <f>F83/(1+0.13)</f>
        <v/>
      </c>
      <c r="H83" s="5">
        <f>F83-G83</f>
        <v/>
      </c>
      <c r="I83" s="5">
        <f>IF(AND(B83,A83=_ztfkfy),_z67r2o*_z0m7ys,0)</f>
        <v/>
      </c>
      <c r="J83" s="5">
        <f>I83*0.13/(1+0.13)</f>
        <v/>
      </c>
      <c r="K83" s="5">
        <f>I83-J83</f>
        <v/>
      </c>
      <c r="L83" s="5">
        <f>N82+J83</f>
        <v/>
      </c>
      <c r="M83" s="5">
        <f>MAX(0,H83-L83)</f>
        <v/>
      </c>
      <c r="N83" s="5">
        <f>MAX(0,L83-H83)</f>
        <v/>
      </c>
      <c r="O83" s="5">
        <f>M83*0.12</f>
        <v/>
      </c>
      <c r="P83" s="5">
        <f>T82</f>
        <v/>
      </c>
      <c r="Q83" s="5">
        <f>IF(AND(B83,A83&lt;=_z2al7i),P83*_zyywx7,0)</f>
        <v/>
      </c>
      <c r="R83" s="5">
        <f>IF(AND(B83,A83&lt;=_z2al7i),_zgsfrl,0)</f>
        <v/>
      </c>
      <c r="S83" s="5">
        <f>R83-Q83</f>
        <v/>
      </c>
      <c r="T83" s="5">
        <f>MAX(0,P83-S83)</f>
        <v/>
      </c>
      <c r="U83" s="5">
        <f>IF(AND(B83,A83&lt;=_zupe8l),_zb0m7l,0)</f>
        <v/>
      </c>
      <c r="V83" s="5">
        <f>IF(AND(B83,A83&lt;=_zupe8l),_zm1wss,0)</f>
        <v/>
      </c>
      <c r="W83" s="5">
        <f>IF(AND(B83,A83&lt;=_zhf3a4),_zdqt32,0)</f>
        <v/>
      </c>
      <c r="X83" s="5">
        <f>IF((_zhsdpd="是"),IF(A83&lt;=3,0,IF(A83&lt;=6,0.5,1)),1)</f>
        <v/>
      </c>
      <c r="Y83" s="5">
        <f>_zrzkf6*X83+(1-_zrzkf6)</f>
        <v/>
      </c>
      <c r="Z83" s="5">
        <f>IF(B83,G83-_zkfhzg-O83-U83-W83-K83,0)</f>
        <v/>
      </c>
      <c r="AA83" s="5">
        <f>MAX(0,-Z82)</f>
        <v/>
      </c>
      <c r="AB83" s="5">
        <f>MIN(AA82,MAX(0,(AE82+AD82+AC82+AB82+AA82)-AF82))</f>
        <v/>
      </c>
      <c r="AC83" s="5">
        <f>MIN(AB82,MAX(0,(AE82+AD82+AC82+AB82)-AF82))</f>
        <v/>
      </c>
      <c r="AD83" s="5">
        <f>MIN(AC82,MAX(0,(AE82+AD82+AC82)-AF82))</f>
        <v/>
      </c>
      <c r="AE83" s="5">
        <f>MIN(AD82,MAX(0,(AE82+AD82)-AF82))</f>
        <v/>
      </c>
      <c r="AF83" s="5">
        <f>MIN(MAX(Z83,0),AA83+AB83+AC83+AD83+AE83)</f>
        <v/>
      </c>
      <c r="AG83" s="5">
        <f>MAX(Z83,0)-AF83</f>
        <v/>
      </c>
      <c r="AH83" s="5">
        <f>AG83*_zs8hxw*Y83</f>
        <v/>
      </c>
      <c r="AI83" s="5">
        <f>IF(B83,G83-_zkfhzg-O83-V83-W83-K83-Q83,0)</f>
        <v/>
      </c>
      <c r="AJ83" s="5">
        <f>MAX(0,-AI82)</f>
        <v/>
      </c>
      <c r="AK83" s="5">
        <f>MIN(AJ82,MAX(0,(AN82+AM82+AL82+AK82+AJ82)-AO82))</f>
        <v/>
      </c>
      <c r="AL83" s="5">
        <f>MIN(AK82,MAX(0,(AN82+AM82+AL82+AK82)-AO82))</f>
        <v/>
      </c>
      <c r="AM83" s="5">
        <f>MIN(AL82,MAX(0,(AN82+AM82+AL82)-AO82))</f>
        <v/>
      </c>
      <c r="AN83" s="5">
        <f>MIN(AM82,MAX(0,(AN82+AM82)-AO82))</f>
        <v/>
      </c>
      <c r="AO83" s="5">
        <f>MIN(MAX(AI83,0),AJ83+AK83+AL83+AM83+AN83)</f>
        <v/>
      </c>
      <c r="AP83" s="5">
        <f>MAX(AI83,0)-AO83</f>
        <v/>
      </c>
      <c r="AQ83" s="5">
        <f>AP83*_zs8hxw*Y83</f>
        <v/>
      </c>
      <c r="AR83" s="5">
        <f>IF(A83=_zx5hja,_zlajvq,0)</f>
        <v/>
      </c>
      <c r="AS83" s="5">
        <f>IF(A83=_zx5hja,_zyh8pc,0)</f>
        <v/>
      </c>
      <c r="AT83" s="5">
        <f>IF(B83,F83-_zkfhzg-M83-O83-I83+AR83,0)</f>
        <v/>
      </c>
      <c r="AU83" s="5">
        <f>AT83-AH83</f>
        <v/>
      </c>
      <c r="AV83" s="5">
        <f>IF(B83,F83-_zkfhzg-M83-O83-I83-R83-AQ83+AS83-IF(AND(A83=_zx5hja,_z2al7i&gt;_zx5hja),T83,0),0)</f>
        <v/>
      </c>
      <c r="AW83" s="5">
        <f>AW82+AU83</f>
        <v/>
      </c>
      <c r="AX83" s="5">
        <f>IF(AND(AW82&lt;0,AW83&gt;=0,AU83&gt;0),1,0)</f>
        <v/>
      </c>
      <c r="AY83" s="5">
        <f>AU83/(1+_zawtbl)^A83</f>
        <v/>
      </c>
      <c r="AZ83" s="5">
        <f>AZ82+AY83</f>
        <v/>
      </c>
      <c r="BA83" s="5">
        <f>IF(AND(AZ82&lt;0,AZ83&gt;=0,AY83&gt;0),1,0)</f>
        <v/>
      </c>
      <c r="BB83" s="5">
        <f>_zs8nv3*C83</f>
        <v/>
      </c>
      <c r="BC83" s="5">
        <f>IF(B83,_zkfhzg+K83-AR83,0)</f>
        <v/>
      </c>
      <c r="BD83" s="5">
        <f>IF(AT83=0,BD82,SIGN(AT83))</f>
        <v/>
      </c>
      <c r="BE83" s="5">
        <f>BE82+IF(OR(AT83=0,BD82=0),0,IF(SIGN(AT83)&lt;&gt;BD82,1,0))</f>
        <v/>
      </c>
      <c r="BF83" s="5">
        <f>IF(AU83=0,BF82,SIGN(AU83))</f>
        <v/>
      </c>
      <c r="BG83" s="5">
        <f>BG82+IF(OR(AU83=0,BF82=0),0,IF(SIGN(AU83)&lt;&gt;BF82,1,0))</f>
        <v/>
      </c>
      <c r="BH83" s="5">
        <f>IF(AV83=0,BH82,SIGN(AV83))</f>
        <v/>
      </c>
      <c r="BI83" s="5">
        <f>BI82+IF(OR(AV83=0,BH82=0),0,IF(SIGN(AV83)&lt;&gt;BH82,1,0))</f>
        <v/>
      </c>
    </row>
    <row r="84">
      <c r="A84" s="5" t="n">
        <v>18</v>
      </c>
      <c r="B84" s="5">
        <f>AND(A84&gt;=1,A84&lt;=_zx5hja)</f>
        <v/>
      </c>
      <c r="C84" s="5">
        <f>IF(B84,(1-_zg5443)^(A84-1),0)</f>
        <v/>
      </c>
      <c r="D84" s="5">
        <f>_zt11ik*C84</f>
        <v/>
      </c>
      <c r="E84" s="5">
        <f>_z5gr99*C84</f>
        <v/>
      </c>
      <c r="F84" s="5">
        <f>_zk8d4f*D84+_zsw7bq*E84</f>
        <v/>
      </c>
      <c r="G84" s="5">
        <f>F84/(1+0.13)</f>
        <v/>
      </c>
      <c r="H84" s="5">
        <f>F84-G84</f>
        <v/>
      </c>
      <c r="I84" s="5">
        <f>IF(AND(B84,A84=_ztfkfy),_z67r2o*_z0m7ys,0)</f>
        <v/>
      </c>
      <c r="J84" s="5">
        <f>I84*0.13/(1+0.13)</f>
        <v/>
      </c>
      <c r="K84" s="5">
        <f>I84-J84</f>
        <v/>
      </c>
      <c r="L84" s="5">
        <f>N83+J84</f>
        <v/>
      </c>
      <c r="M84" s="5">
        <f>MAX(0,H84-L84)</f>
        <v/>
      </c>
      <c r="N84" s="5">
        <f>MAX(0,L84-H84)</f>
        <v/>
      </c>
      <c r="O84" s="5">
        <f>M84*0.12</f>
        <v/>
      </c>
      <c r="P84" s="5">
        <f>T83</f>
        <v/>
      </c>
      <c r="Q84" s="5">
        <f>IF(AND(B84,A84&lt;=_z2al7i),P84*_zyywx7,0)</f>
        <v/>
      </c>
      <c r="R84" s="5">
        <f>IF(AND(B84,A84&lt;=_z2al7i),_zgsfrl,0)</f>
        <v/>
      </c>
      <c r="S84" s="5">
        <f>R84-Q84</f>
        <v/>
      </c>
      <c r="T84" s="5">
        <f>MAX(0,P84-S84)</f>
        <v/>
      </c>
      <c r="U84" s="5">
        <f>IF(AND(B84,A84&lt;=_zupe8l),_zb0m7l,0)</f>
        <v/>
      </c>
      <c r="V84" s="5">
        <f>IF(AND(B84,A84&lt;=_zupe8l),_zm1wss,0)</f>
        <v/>
      </c>
      <c r="W84" s="5">
        <f>IF(AND(B84,A84&lt;=_zhf3a4),_zdqt32,0)</f>
        <v/>
      </c>
      <c r="X84" s="5">
        <f>IF((_zhsdpd="是"),IF(A84&lt;=3,0,IF(A84&lt;=6,0.5,1)),1)</f>
        <v/>
      </c>
      <c r="Y84" s="5">
        <f>_zrzkf6*X84+(1-_zrzkf6)</f>
        <v/>
      </c>
      <c r="Z84" s="5">
        <f>IF(B84,G84-_zkfhzg-O84-U84-W84-K84,0)</f>
        <v/>
      </c>
      <c r="AA84" s="5">
        <f>MAX(0,-Z83)</f>
        <v/>
      </c>
      <c r="AB84" s="5">
        <f>MIN(AA83,MAX(0,(AE83+AD83+AC83+AB83+AA83)-AF83))</f>
        <v/>
      </c>
      <c r="AC84" s="5">
        <f>MIN(AB83,MAX(0,(AE83+AD83+AC83+AB83)-AF83))</f>
        <v/>
      </c>
      <c r="AD84" s="5">
        <f>MIN(AC83,MAX(0,(AE83+AD83+AC83)-AF83))</f>
        <v/>
      </c>
      <c r="AE84" s="5">
        <f>MIN(AD83,MAX(0,(AE83+AD83)-AF83))</f>
        <v/>
      </c>
      <c r="AF84" s="5">
        <f>MIN(MAX(Z84,0),AA84+AB84+AC84+AD84+AE84)</f>
        <v/>
      </c>
      <c r="AG84" s="5">
        <f>MAX(Z84,0)-AF84</f>
        <v/>
      </c>
      <c r="AH84" s="5">
        <f>AG84*_zs8hxw*Y84</f>
        <v/>
      </c>
      <c r="AI84" s="5">
        <f>IF(B84,G84-_zkfhzg-O84-V84-W84-K84-Q84,0)</f>
        <v/>
      </c>
      <c r="AJ84" s="5">
        <f>MAX(0,-AI83)</f>
        <v/>
      </c>
      <c r="AK84" s="5">
        <f>MIN(AJ83,MAX(0,(AN83+AM83+AL83+AK83+AJ83)-AO83))</f>
        <v/>
      </c>
      <c r="AL84" s="5">
        <f>MIN(AK83,MAX(0,(AN83+AM83+AL83+AK83)-AO83))</f>
        <v/>
      </c>
      <c r="AM84" s="5">
        <f>MIN(AL83,MAX(0,(AN83+AM83+AL83)-AO83))</f>
        <v/>
      </c>
      <c r="AN84" s="5">
        <f>MIN(AM83,MAX(0,(AN83+AM83)-AO83))</f>
        <v/>
      </c>
      <c r="AO84" s="5">
        <f>MIN(MAX(AI84,0),AJ84+AK84+AL84+AM84+AN84)</f>
        <v/>
      </c>
      <c r="AP84" s="5">
        <f>MAX(AI84,0)-AO84</f>
        <v/>
      </c>
      <c r="AQ84" s="5">
        <f>AP84*_zs8hxw*Y84</f>
        <v/>
      </c>
      <c r="AR84" s="5">
        <f>IF(A84=_zx5hja,_zlajvq,0)</f>
        <v/>
      </c>
      <c r="AS84" s="5">
        <f>IF(A84=_zx5hja,_zyh8pc,0)</f>
        <v/>
      </c>
      <c r="AT84" s="5">
        <f>IF(B84,F84-_zkfhzg-M84-O84-I84+AR84,0)</f>
        <v/>
      </c>
      <c r="AU84" s="5">
        <f>AT84-AH84</f>
        <v/>
      </c>
      <c r="AV84" s="5">
        <f>IF(B84,F84-_zkfhzg-M84-O84-I84-R84-AQ84+AS84-IF(AND(A84=_zx5hja,_z2al7i&gt;_zx5hja),T84,0),0)</f>
        <v/>
      </c>
      <c r="AW84" s="5">
        <f>AW83+AU84</f>
        <v/>
      </c>
      <c r="AX84" s="5">
        <f>IF(AND(AW83&lt;0,AW84&gt;=0,AU84&gt;0),1,0)</f>
        <v/>
      </c>
      <c r="AY84" s="5">
        <f>AU84/(1+_zawtbl)^A84</f>
        <v/>
      </c>
      <c r="AZ84" s="5">
        <f>AZ83+AY84</f>
        <v/>
      </c>
      <c r="BA84" s="5">
        <f>IF(AND(AZ83&lt;0,AZ84&gt;=0,AY84&gt;0),1,0)</f>
        <v/>
      </c>
      <c r="BB84" s="5">
        <f>_zs8nv3*C84</f>
        <v/>
      </c>
      <c r="BC84" s="5">
        <f>IF(B84,_zkfhzg+K84-AR84,0)</f>
        <v/>
      </c>
      <c r="BD84" s="5">
        <f>IF(AT84=0,BD83,SIGN(AT84))</f>
        <v/>
      </c>
      <c r="BE84" s="5">
        <f>BE83+IF(OR(AT84=0,BD83=0),0,IF(SIGN(AT84)&lt;&gt;BD83,1,0))</f>
        <v/>
      </c>
      <c r="BF84" s="5">
        <f>IF(AU84=0,BF83,SIGN(AU84))</f>
        <v/>
      </c>
      <c r="BG84" s="5">
        <f>BG83+IF(OR(AU84=0,BF83=0),0,IF(SIGN(AU84)&lt;&gt;BF83,1,0))</f>
        <v/>
      </c>
      <c r="BH84" s="5">
        <f>IF(AV84=0,BH83,SIGN(AV84))</f>
        <v/>
      </c>
      <c r="BI84" s="5">
        <f>BI83+IF(OR(AV84=0,BH83=0),0,IF(SIGN(AV84)&lt;&gt;BH83,1,0))</f>
        <v/>
      </c>
    </row>
    <row r="85">
      <c r="A85" s="5" t="n">
        <v>19</v>
      </c>
      <c r="B85" s="5">
        <f>AND(A85&gt;=1,A85&lt;=_zx5hja)</f>
        <v/>
      </c>
      <c r="C85" s="5">
        <f>IF(B85,(1-_zg5443)^(A85-1),0)</f>
        <v/>
      </c>
      <c r="D85" s="5">
        <f>_zt11ik*C85</f>
        <v/>
      </c>
      <c r="E85" s="5">
        <f>_z5gr99*C85</f>
        <v/>
      </c>
      <c r="F85" s="5">
        <f>_zk8d4f*D85+_zsw7bq*E85</f>
        <v/>
      </c>
      <c r="G85" s="5">
        <f>F85/(1+0.13)</f>
        <v/>
      </c>
      <c r="H85" s="5">
        <f>F85-G85</f>
        <v/>
      </c>
      <c r="I85" s="5">
        <f>IF(AND(B85,A85=_ztfkfy),_z67r2o*_z0m7ys,0)</f>
        <v/>
      </c>
      <c r="J85" s="5">
        <f>I85*0.13/(1+0.13)</f>
        <v/>
      </c>
      <c r="K85" s="5">
        <f>I85-J85</f>
        <v/>
      </c>
      <c r="L85" s="5">
        <f>N84+J85</f>
        <v/>
      </c>
      <c r="M85" s="5">
        <f>MAX(0,H85-L85)</f>
        <v/>
      </c>
      <c r="N85" s="5">
        <f>MAX(0,L85-H85)</f>
        <v/>
      </c>
      <c r="O85" s="5">
        <f>M85*0.12</f>
        <v/>
      </c>
      <c r="P85" s="5">
        <f>T84</f>
        <v/>
      </c>
      <c r="Q85" s="5">
        <f>IF(AND(B85,A85&lt;=_z2al7i),P85*_zyywx7,0)</f>
        <v/>
      </c>
      <c r="R85" s="5">
        <f>IF(AND(B85,A85&lt;=_z2al7i),_zgsfrl,0)</f>
        <v/>
      </c>
      <c r="S85" s="5">
        <f>R85-Q85</f>
        <v/>
      </c>
      <c r="T85" s="5">
        <f>MAX(0,P85-S85)</f>
        <v/>
      </c>
      <c r="U85" s="5">
        <f>IF(AND(B85,A85&lt;=_zupe8l),_zb0m7l,0)</f>
        <v/>
      </c>
      <c r="V85" s="5">
        <f>IF(AND(B85,A85&lt;=_zupe8l),_zm1wss,0)</f>
        <v/>
      </c>
      <c r="W85" s="5">
        <f>IF(AND(B85,A85&lt;=_zhf3a4),_zdqt32,0)</f>
        <v/>
      </c>
      <c r="X85" s="5">
        <f>IF((_zhsdpd="是"),IF(A85&lt;=3,0,IF(A85&lt;=6,0.5,1)),1)</f>
        <v/>
      </c>
      <c r="Y85" s="5">
        <f>_zrzkf6*X85+(1-_zrzkf6)</f>
        <v/>
      </c>
      <c r="Z85" s="5">
        <f>IF(B85,G85-_zkfhzg-O85-U85-W85-K85,0)</f>
        <v/>
      </c>
      <c r="AA85" s="5">
        <f>MAX(0,-Z84)</f>
        <v/>
      </c>
      <c r="AB85" s="5">
        <f>MIN(AA84,MAX(0,(AE84+AD84+AC84+AB84+AA84)-AF84))</f>
        <v/>
      </c>
      <c r="AC85" s="5">
        <f>MIN(AB84,MAX(0,(AE84+AD84+AC84+AB84)-AF84))</f>
        <v/>
      </c>
      <c r="AD85" s="5">
        <f>MIN(AC84,MAX(0,(AE84+AD84+AC84)-AF84))</f>
        <v/>
      </c>
      <c r="AE85" s="5">
        <f>MIN(AD84,MAX(0,(AE84+AD84)-AF84))</f>
        <v/>
      </c>
      <c r="AF85" s="5">
        <f>MIN(MAX(Z85,0),AA85+AB85+AC85+AD85+AE85)</f>
        <v/>
      </c>
      <c r="AG85" s="5">
        <f>MAX(Z85,0)-AF85</f>
        <v/>
      </c>
      <c r="AH85" s="5">
        <f>AG85*_zs8hxw*Y85</f>
        <v/>
      </c>
      <c r="AI85" s="5">
        <f>IF(B85,G85-_zkfhzg-O85-V85-W85-K85-Q85,0)</f>
        <v/>
      </c>
      <c r="AJ85" s="5">
        <f>MAX(0,-AI84)</f>
        <v/>
      </c>
      <c r="AK85" s="5">
        <f>MIN(AJ84,MAX(0,(AN84+AM84+AL84+AK84+AJ84)-AO84))</f>
        <v/>
      </c>
      <c r="AL85" s="5">
        <f>MIN(AK84,MAX(0,(AN84+AM84+AL84+AK84)-AO84))</f>
        <v/>
      </c>
      <c r="AM85" s="5">
        <f>MIN(AL84,MAX(0,(AN84+AM84+AL84)-AO84))</f>
        <v/>
      </c>
      <c r="AN85" s="5">
        <f>MIN(AM84,MAX(0,(AN84+AM84)-AO84))</f>
        <v/>
      </c>
      <c r="AO85" s="5">
        <f>MIN(MAX(AI85,0),AJ85+AK85+AL85+AM85+AN85)</f>
        <v/>
      </c>
      <c r="AP85" s="5">
        <f>MAX(AI85,0)-AO85</f>
        <v/>
      </c>
      <c r="AQ85" s="5">
        <f>AP85*_zs8hxw*Y85</f>
        <v/>
      </c>
      <c r="AR85" s="5">
        <f>IF(A85=_zx5hja,_zlajvq,0)</f>
        <v/>
      </c>
      <c r="AS85" s="5">
        <f>IF(A85=_zx5hja,_zyh8pc,0)</f>
        <v/>
      </c>
      <c r="AT85" s="5">
        <f>IF(B85,F85-_zkfhzg-M85-O85-I85+AR85,0)</f>
        <v/>
      </c>
      <c r="AU85" s="5">
        <f>AT85-AH85</f>
        <v/>
      </c>
      <c r="AV85" s="5">
        <f>IF(B85,F85-_zkfhzg-M85-O85-I85-R85-AQ85+AS85-IF(AND(A85=_zx5hja,_z2al7i&gt;_zx5hja),T85,0),0)</f>
        <v/>
      </c>
      <c r="AW85" s="5">
        <f>AW84+AU85</f>
        <v/>
      </c>
      <c r="AX85" s="5">
        <f>IF(AND(AW84&lt;0,AW85&gt;=0,AU85&gt;0),1,0)</f>
        <v/>
      </c>
      <c r="AY85" s="5">
        <f>AU85/(1+_zawtbl)^A85</f>
        <v/>
      </c>
      <c r="AZ85" s="5">
        <f>AZ84+AY85</f>
        <v/>
      </c>
      <c r="BA85" s="5">
        <f>IF(AND(AZ84&lt;0,AZ85&gt;=0,AY85&gt;0),1,0)</f>
        <v/>
      </c>
      <c r="BB85" s="5">
        <f>_zs8nv3*C85</f>
        <v/>
      </c>
      <c r="BC85" s="5">
        <f>IF(B85,_zkfhzg+K85-AR85,0)</f>
        <v/>
      </c>
      <c r="BD85" s="5">
        <f>IF(AT85=0,BD84,SIGN(AT85))</f>
        <v/>
      </c>
      <c r="BE85" s="5">
        <f>BE84+IF(OR(AT85=0,BD84=0),0,IF(SIGN(AT85)&lt;&gt;BD84,1,0))</f>
        <v/>
      </c>
      <c r="BF85" s="5">
        <f>IF(AU85=0,BF84,SIGN(AU85))</f>
        <v/>
      </c>
      <c r="BG85" s="5">
        <f>BG84+IF(OR(AU85=0,BF84=0),0,IF(SIGN(AU85)&lt;&gt;BF84,1,0))</f>
        <v/>
      </c>
      <c r="BH85" s="5">
        <f>IF(AV85=0,BH84,SIGN(AV85))</f>
        <v/>
      </c>
      <c r="BI85" s="5">
        <f>BI84+IF(OR(AV85=0,BH84=0),0,IF(SIGN(AV85)&lt;&gt;BH84,1,0))</f>
        <v/>
      </c>
    </row>
    <row r="86">
      <c r="A86" s="5" t="n">
        <v>20</v>
      </c>
      <c r="B86" s="5">
        <f>AND(A86&gt;=1,A86&lt;=_zx5hja)</f>
        <v/>
      </c>
      <c r="C86" s="5">
        <f>IF(B86,(1-_zg5443)^(A86-1),0)</f>
        <v/>
      </c>
      <c r="D86" s="5">
        <f>_zt11ik*C86</f>
        <v/>
      </c>
      <c r="E86" s="5">
        <f>_z5gr99*C86</f>
        <v/>
      </c>
      <c r="F86" s="5">
        <f>_zk8d4f*D86+_zsw7bq*E86</f>
        <v/>
      </c>
      <c r="G86" s="5">
        <f>F86/(1+0.13)</f>
        <v/>
      </c>
      <c r="H86" s="5">
        <f>F86-G86</f>
        <v/>
      </c>
      <c r="I86" s="5">
        <f>IF(AND(B86,A86=_ztfkfy),_z67r2o*_z0m7ys,0)</f>
        <v/>
      </c>
      <c r="J86" s="5">
        <f>I86*0.13/(1+0.13)</f>
        <v/>
      </c>
      <c r="K86" s="5">
        <f>I86-J86</f>
        <v/>
      </c>
      <c r="L86" s="5">
        <f>N85+J86</f>
        <v/>
      </c>
      <c r="M86" s="5">
        <f>MAX(0,H86-L86)</f>
        <v/>
      </c>
      <c r="N86" s="5">
        <f>MAX(0,L86-H86)</f>
        <v/>
      </c>
      <c r="O86" s="5">
        <f>M86*0.12</f>
        <v/>
      </c>
      <c r="P86" s="5">
        <f>T85</f>
        <v/>
      </c>
      <c r="Q86" s="5">
        <f>IF(AND(B86,A86&lt;=_z2al7i),P86*_zyywx7,0)</f>
        <v/>
      </c>
      <c r="R86" s="5">
        <f>IF(AND(B86,A86&lt;=_z2al7i),_zgsfrl,0)</f>
        <v/>
      </c>
      <c r="S86" s="5">
        <f>R86-Q86</f>
        <v/>
      </c>
      <c r="T86" s="5">
        <f>MAX(0,P86-S86)</f>
        <v/>
      </c>
      <c r="U86" s="5">
        <f>IF(AND(B86,A86&lt;=_zupe8l),_zb0m7l,0)</f>
        <v/>
      </c>
      <c r="V86" s="5">
        <f>IF(AND(B86,A86&lt;=_zupe8l),_zm1wss,0)</f>
        <v/>
      </c>
      <c r="W86" s="5">
        <f>IF(AND(B86,A86&lt;=_zhf3a4),_zdqt32,0)</f>
        <v/>
      </c>
      <c r="X86" s="5">
        <f>IF((_zhsdpd="是"),IF(A86&lt;=3,0,IF(A86&lt;=6,0.5,1)),1)</f>
        <v/>
      </c>
      <c r="Y86" s="5">
        <f>_zrzkf6*X86+(1-_zrzkf6)</f>
        <v/>
      </c>
      <c r="Z86" s="5">
        <f>IF(B86,G86-_zkfhzg-O86-U86-W86-K86,0)</f>
        <v/>
      </c>
      <c r="AA86" s="5">
        <f>MAX(0,-Z85)</f>
        <v/>
      </c>
      <c r="AB86" s="5">
        <f>MIN(AA85,MAX(0,(AE85+AD85+AC85+AB85+AA85)-AF85))</f>
        <v/>
      </c>
      <c r="AC86" s="5">
        <f>MIN(AB85,MAX(0,(AE85+AD85+AC85+AB85)-AF85))</f>
        <v/>
      </c>
      <c r="AD86" s="5">
        <f>MIN(AC85,MAX(0,(AE85+AD85+AC85)-AF85))</f>
        <v/>
      </c>
      <c r="AE86" s="5">
        <f>MIN(AD85,MAX(0,(AE85+AD85)-AF85))</f>
        <v/>
      </c>
      <c r="AF86" s="5">
        <f>MIN(MAX(Z86,0),AA86+AB86+AC86+AD86+AE86)</f>
        <v/>
      </c>
      <c r="AG86" s="5">
        <f>MAX(Z86,0)-AF86</f>
        <v/>
      </c>
      <c r="AH86" s="5">
        <f>AG86*_zs8hxw*Y86</f>
        <v/>
      </c>
      <c r="AI86" s="5">
        <f>IF(B86,G86-_zkfhzg-O86-V86-W86-K86-Q86,0)</f>
        <v/>
      </c>
      <c r="AJ86" s="5">
        <f>MAX(0,-AI85)</f>
        <v/>
      </c>
      <c r="AK86" s="5">
        <f>MIN(AJ85,MAX(0,(AN85+AM85+AL85+AK85+AJ85)-AO85))</f>
        <v/>
      </c>
      <c r="AL86" s="5">
        <f>MIN(AK85,MAX(0,(AN85+AM85+AL85+AK85)-AO85))</f>
        <v/>
      </c>
      <c r="AM86" s="5">
        <f>MIN(AL85,MAX(0,(AN85+AM85+AL85)-AO85))</f>
        <v/>
      </c>
      <c r="AN86" s="5">
        <f>MIN(AM85,MAX(0,(AN85+AM85)-AO85))</f>
        <v/>
      </c>
      <c r="AO86" s="5">
        <f>MIN(MAX(AI86,0),AJ86+AK86+AL86+AM86+AN86)</f>
        <v/>
      </c>
      <c r="AP86" s="5">
        <f>MAX(AI86,0)-AO86</f>
        <v/>
      </c>
      <c r="AQ86" s="5">
        <f>AP86*_zs8hxw*Y86</f>
        <v/>
      </c>
      <c r="AR86" s="5">
        <f>IF(A86=_zx5hja,_zlajvq,0)</f>
        <v/>
      </c>
      <c r="AS86" s="5">
        <f>IF(A86=_zx5hja,_zyh8pc,0)</f>
        <v/>
      </c>
      <c r="AT86" s="5">
        <f>IF(B86,F86-_zkfhzg-M86-O86-I86+AR86,0)</f>
        <v/>
      </c>
      <c r="AU86" s="5">
        <f>AT86-AH86</f>
        <v/>
      </c>
      <c r="AV86" s="5">
        <f>IF(B86,F86-_zkfhzg-M86-O86-I86-R86-AQ86+AS86-IF(AND(A86=_zx5hja,_z2al7i&gt;_zx5hja),T86,0),0)</f>
        <v/>
      </c>
      <c r="AW86" s="5">
        <f>AW85+AU86</f>
        <v/>
      </c>
      <c r="AX86" s="5">
        <f>IF(AND(AW85&lt;0,AW86&gt;=0,AU86&gt;0),1,0)</f>
        <v/>
      </c>
      <c r="AY86" s="5">
        <f>AU86/(1+_zawtbl)^A86</f>
        <v/>
      </c>
      <c r="AZ86" s="5">
        <f>AZ85+AY86</f>
        <v/>
      </c>
      <c r="BA86" s="5">
        <f>IF(AND(AZ85&lt;0,AZ86&gt;=0,AY86&gt;0),1,0)</f>
        <v/>
      </c>
      <c r="BB86" s="5">
        <f>_zs8nv3*C86</f>
        <v/>
      </c>
      <c r="BC86" s="5">
        <f>IF(B86,_zkfhzg+K86-AR86,0)</f>
        <v/>
      </c>
      <c r="BD86" s="5">
        <f>IF(AT86=0,BD85,SIGN(AT86))</f>
        <v/>
      </c>
      <c r="BE86" s="5">
        <f>BE85+IF(OR(AT86=0,BD85=0),0,IF(SIGN(AT86)&lt;&gt;BD85,1,0))</f>
        <v/>
      </c>
      <c r="BF86" s="5">
        <f>IF(AU86=0,BF85,SIGN(AU86))</f>
        <v/>
      </c>
      <c r="BG86" s="5">
        <f>BG85+IF(OR(AU86=0,BF85=0),0,IF(SIGN(AU86)&lt;&gt;BF85,1,0))</f>
        <v/>
      </c>
      <c r="BH86" s="5">
        <f>IF(AV86=0,BH85,SIGN(AV86))</f>
        <v/>
      </c>
      <c r="BI86" s="5">
        <f>BI85+IF(OR(AV86=0,BH85=0),0,IF(SIGN(AV86)&lt;&gt;BH85,1,0))</f>
        <v/>
      </c>
    </row>
    <row r="87">
      <c r="A87" s="5" t="n">
        <v>21</v>
      </c>
      <c r="B87" s="5">
        <f>AND(A87&gt;=1,A87&lt;=_zx5hja)</f>
        <v/>
      </c>
      <c r="C87" s="5">
        <f>IF(B87,(1-_zg5443)^(A87-1),0)</f>
        <v/>
      </c>
      <c r="D87" s="5">
        <f>_zt11ik*C87</f>
        <v/>
      </c>
      <c r="E87" s="5">
        <f>_z5gr99*C87</f>
        <v/>
      </c>
      <c r="F87" s="5">
        <f>_zk8d4f*D87+_zsw7bq*E87</f>
        <v/>
      </c>
      <c r="G87" s="5">
        <f>F87/(1+0.13)</f>
        <v/>
      </c>
      <c r="H87" s="5">
        <f>F87-G87</f>
        <v/>
      </c>
      <c r="I87" s="5">
        <f>IF(AND(B87,A87=_ztfkfy),_z67r2o*_z0m7ys,0)</f>
        <v/>
      </c>
      <c r="J87" s="5">
        <f>I87*0.13/(1+0.13)</f>
        <v/>
      </c>
      <c r="K87" s="5">
        <f>I87-J87</f>
        <v/>
      </c>
      <c r="L87" s="5">
        <f>N86+J87</f>
        <v/>
      </c>
      <c r="M87" s="5">
        <f>MAX(0,H87-L87)</f>
        <v/>
      </c>
      <c r="N87" s="5">
        <f>MAX(0,L87-H87)</f>
        <v/>
      </c>
      <c r="O87" s="5">
        <f>M87*0.12</f>
        <v/>
      </c>
      <c r="P87" s="5">
        <f>T86</f>
        <v/>
      </c>
      <c r="Q87" s="5">
        <f>IF(AND(B87,A87&lt;=_z2al7i),P87*_zyywx7,0)</f>
        <v/>
      </c>
      <c r="R87" s="5">
        <f>IF(AND(B87,A87&lt;=_z2al7i),_zgsfrl,0)</f>
        <v/>
      </c>
      <c r="S87" s="5">
        <f>R87-Q87</f>
        <v/>
      </c>
      <c r="T87" s="5">
        <f>MAX(0,P87-S87)</f>
        <v/>
      </c>
      <c r="U87" s="5">
        <f>IF(AND(B87,A87&lt;=_zupe8l),_zb0m7l,0)</f>
        <v/>
      </c>
      <c r="V87" s="5">
        <f>IF(AND(B87,A87&lt;=_zupe8l),_zm1wss,0)</f>
        <v/>
      </c>
      <c r="W87" s="5">
        <f>IF(AND(B87,A87&lt;=_zhf3a4),_zdqt32,0)</f>
        <v/>
      </c>
      <c r="X87" s="5">
        <f>IF((_zhsdpd="是"),IF(A87&lt;=3,0,IF(A87&lt;=6,0.5,1)),1)</f>
        <v/>
      </c>
      <c r="Y87" s="5">
        <f>_zrzkf6*X87+(1-_zrzkf6)</f>
        <v/>
      </c>
      <c r="Z87" s="5">
        <f>IF(B87,G87-_zkfhzg-O87-U87-W87-K87,0)</f>
        <v/>
      </c>
      <c r="AA87" s="5">
        <f>MAX(0,-Z86)</f>
        <v/>
      </c>
      <c r="AB87" s="5">
        <f>MIN(AA86,MAX(0,(AE86+AD86+AC86+AB86+AA86)-AF86))</f>
        <v/>
      </c>
      <c r="AC87" s="5">
        <f>MIN(AB86,MAX(0,(AE86+AD86+AC86+AB86)-AF86))</f>
        <v/>
      </c>
      <c r="AD87" s="5">
        <f>MIN(AC86,MAX(0,(AE86+AD86+AC86)-AF86))</f>
        <v/>
      </c>
      <c r="AE87" s="5">
        <f>MIN(AD86,MAX(0,(AE86+AD86)-AF86))</f>
        <v/>
      </c>
      <c r="AF87" s="5">
        <f>MIN(MAX(Z87,0),AA87+AB87+AC87+AD87+AE87)</f>
        <v/>
      </c>
      <c r="AG87" s="5">
        <f>MAX(Z87,0)-AF87</f>
        <v/>
      </c>
      <c r="AH87" s="5">
        <f>AG87*_zs8hxw*Y87</f>
        <v/>
      </c>
      <c r="AI87" s="5">
        <f>IF(B87,G87-_zkfhzg-O87-V87-W87-K87-Q87,0)</f>
        <v/>
      </c>
      <c r="AJ87" s="5">
        <f>MAX(0,-AI86)</f>
        <v/>
      </c>
      <c r="AK87" s="5">
        <f>MIN(AJ86,MAX(0,(AN86+AM86+AL86+AK86+AJ86)-AO86))</f>
        <v/>
      </c>
      <c r="AL87" s="5">
        <f>MIN(AK86,MAX(0,(AN86+AM86+AL86+AK86)-AO86))</f>
        <v/>
      </c>
      <c r="AM87" s="5">
        <f>MIN(AL86,MAX(0,(AN86+AM86+AL86)-AO86))</f>
        <v/>
      </c>
      <c r="AN87" s="5">
        <f>MIN(AM86,MAX(0,(AN86+AM86)-AO86))</f>
        <v/>
      </c>
      <c r="AO87" s="5">
        <f>MIN(MAX(AI87,0),AJ87+AK87+AL87+AM87+AN87)</f>
        <v/>
      </c>
      <c r="AP87" s="5">
        <f>MAX(AI87,0)-AO87</f>
        <v/>
      </c>
      <c r="AQ87" s="5">
        <f>AP87*_zs8hxw*Y87</f>
        <v/>
      </c>
      <c r="AR87" s="5">
        <f>IF(A87=_zx5hja,_zlajvq,0)</f>
        <v/>
      </c>
      <c r="AS87" s="5">
        <f>IF(A87=_zx5hja,_zyh8pc,0)</f>
        <v/>
      </c>
      <c r="AT87" s="5">
        <f>IF(B87,F87-_zkfhzg-M87-O87-I87+AR87,0)</f>
        <v/>
      </c>
      <c r="AU87" s="5">
        <f>AT87-AH87</f>
        <v/>
      </c>
      <c r="AV87" s="5">
        <f>IF(B87,F87-_zkfhzg-M87-O87-I87-R87-AQ87+AS87-IF(AND(A87=_zx5hja,_z2al7i&gt;_zx5hja),T87,0),0)</f>
        <v/>
      </c>
      <c r="AW87" s="5">
        <f>AW86+AU87</f>
        <v/>
      </c>
      <c r="AX87" s="5">
        <f>IF(AND(AW86&lt;0,AW87&gt;=0,AU87&gt;0),1,0)</f>
        <v/>
      </c>
      <c r="AY87" s="5">
        <f>AU87/(1+_zawtbl)^A87</f>
        <v/>
      </c>
      <c r="AZ87" s="5">
        <f>AZ86+AY87</f>
        <v/>
      </c>
      <c r="BA87" s="5">
        <f>IF(AND(AZ86&lt;0,AZ87&gt;=0,AY87&gt;0),1,0)</f>
        <v/>
      </c>
      <c r="BB87" s="5">
        <f>_zs8nv3*C87</f>
        <v/>
      </c>
      <c r="BC87" s="5">
        <f>IF(B87,_zkfhzg+K87-AR87,0)</f>
        <v/>
      </c>
      <c r="BD87" s="5">
        <f>IF(AT87=0,BD86,SIGN(AT87))</f>
        <v/>
      </c>
      <c r="BE87" s="5">
        <f>BE86+IF(OR(AT87=0,BD86=0),0,IF(SIGN(AT87)&lt;&gt;BD86,1,0))</f>
        <v/>
      </c>
      <c r="BF87" s="5">
        <f>IF(AU87=0,BF86,SIGN(AU87))</f>
        <v/>
      </c>
      <c r="BG87" s="5">
        <f>BG86+IF(OR(AU87=0,BF86=0),0,IF(SIGN(AU87)&lt;&gt;BF86,1,0))</f>
        <v/>
      </c>
      <c r="BH87" s="5">
        <f>IF(AV87=0,BH86,SIGN(AV87))</f>
        <v/>
      </c>
      <c r="BI87" s="5">
        <f>BI86+IF(OR(AV87=0,BH86=0),0,IF(SIGN(AV87)&lt;&gt;BH86,1,0))</f>
        <v/>
      </c>
    </row>
    <row r="88">
      <c r="A88" s="5" t="n">
        <v>22</v>
      </c>
      <c r="B88" s="5">
        <f>AND(A88&gt;=1,A88&lt;=_zx5hja)</f>
        <v/>
      </c>
      <c r="C88" s="5">
        <f>IF(B88,(1-_zg5443)^(A88-1),0)</f>
        <v/>
      </c>
      <c r="D88" s="5">
        <f>_zt11ik*C88</f>
        <v/>
      </c>
      <c r="E88" s="5">
        <f>_z5gr99*C88</f>
        <v/>
      </c>
      <c r="F88" s="5">
        <f>_zk8d4f*D88+_zsw7bq*E88</f>
        <v/>
      </c>
      <c r="G88" s="5">
        <f>F88/(1+0.13)</f>
        <v/>
      </c>
      <c r="H88" s="5">
        <f>F88-G88</f>
        <v/>
      </c>
      <c r="I88" s="5">
        <f>IF(AND(B88,A88=_ztfkfy),_z67r2o*_z0m7ys,0)</f>
        <v/>
      </c>
      <c r="J88" s="5">
        <f>I88*0.13/(1+0.13)</f>
        <v/>
      </c>
      <c r="K88" s="5">
        <f>I88-J88</f>
        <v/>
      </c>
      <c r="L88" s="5">
        <f>N87+J88</f>
        <v/>
      </c>
      <c r="M88" s="5">
        <f>MAX(0,H88-L88)</f>
        <v/>
      </c>
      <c r="N88" s="5">
        <f>MAX(0,L88-H88)</f>
        <v/>
      </c>
      <c r="O88" s="5">
        <f>M88*0.12</f>
        <v/>
      </c>
      <c r="P88" s="5">
        <f>T87</f>
        <v/>
      </c>
      <c r="Q88" s="5">
        <f>IF(AND(B88,A88&lt;=_z2al7i),P88*_zyywx7,0)</f>
        <v/>
      </c>
      <c r="R88" s="5">
        <f>IF(AND(B88,A88&lt;=_z2al7i),_zgsfrl,0)</f>
        <v/>
      </c>
      <c r="S88" s="5">
        <f>R88-Q88</f>
        <v/>
      </c>
      <c r="T88" s="5">
        <f>MAX(0,P88-S88)</f>
        <v/>
      </c>
      <c r="U88" s="5">
        <f>IF(AND(B88,A88&lt;=_zupe8l),_zb0m7l,0)</f>
        <v/>
      </c>
      <c r="V88" s="5">
        <f>IF(AND(B88,A88&lt;=_zupe8l),_zm1wss,0)</f>
        <v/>
      </c>
      <c r="W88" s="5">
        <f>IF(AND(B88,A88&lt;=_zhf3a4),_zdqt32,0)</f>
        <v/>
      </c>
      <c r="X88" s="5">
        <f>IF((_zhsdpd="是"),IF(A88&lt;=3,0,IF(A88&lt;=6,0.5,1)),1)</f>
        <v/>
      </c>
      <c r="Y88" s="5">
        <f>_zrzkf6*X88+(1-_zrzkf6)</f>
        <v/>
      </c>
      <c r="Z88" s="5">
        <f>IF(B88,G88-_zkfhzg-O88-U88-W88-K88,0)</f>
        <v/>
      </c>
      <c r="AA88" s="5">
        <f>MAX(0,-Z87)</f>
        <v/>
      </c>
      <c r="AB88" s="5">
        <f>MIN(AA87,MAX(0,(AE87+AD87+AC87+AB87+AA87)-AF87))</f>
        <v/>
      </c>
      <c r="AC88" s="5">
        <f>MIN(AB87,MAX(0,(AE87+AD87+AC87+AB87)-AF87))</f>
        <v/>
      </c>
      <c r="AD88" s="5">
        <f>MIN(AC87,MAX(0,(AE87+AD87+AC87)-AF87))</f>
        <v/>
      </c>
      <c r="AE88" s="5">
        <f>MIN(AD87,MAX(0,(AE87+AD87)-AF87))</f>
        <v/>
      </c>
      <c r="AF88" s="5">
        <f>MIN(MAX(Z88,0),AA88+AB88+AC88+AD88+AE88)</f>
        <v/>
      </c>
      <c r="AG88" s="5">
        <f>MAX(Z88,0)-AF88</f>
        <v/>
      </c>
      <c r="AH88" s="5">
        <f>AG88*_zs8hxw*Y88</f>
        <v/>
      </c>
      <c r="AI88" s="5">
        <f>IF(B88,G88-_zkfhzg-O88-V88-W88-K88-Q88,0)</f>
        <v/>
      </c>
      <c r="AJ88" s="5">
        <f>MAX(0,-AI87)</f>
        <v/>
      </c>
      <c r="AK88" s="5">
        <f>MIN(AJ87,MAX(0,(AN87+AM87+AL87+AK87+AJ87)-AO87))</f>
        <v/>
      </c>
      <c r="AL88" s="5">
        <f>MIN(AK87,MAX(0,(AN87+AM87+AL87+AK87)-AO87))</f>
        <v/>
      </c>
      <c r="AM88" s="5">
        <f>MIN(AL87,MAX(0,(AN87+AM87+AL87)-AO87))</f>
        <v/>
      </c>
      <c r="AN88" s="5">
        <f>MIN(AM87,MAX(0,(AN87+AM87)-AO87))</f>
        <v/>
      </c>
      <c r="AO88" s="5">
        <f>MIN(MAX(AI88,0),AJ88+AK88+AL88+AM88+AN88)</f>
        <v/>
      </c>
      <c r="AP88" s="5">
        <f>MAX(AI88,0)-AO88</f>
        <v/>
      </c>
      <c r="AQ88" s="5">
        <f>AP88*_zs8hxw*Y88</f>
        <v/>
      </c>
      <c r="AR88" s="5">
        <f>IF(A88=_zx5hja,_zlajvq,0)</f>
        <v/>
      </c>
      <c r="AS88" s="5">
        <f>IF(A88=_zx5hja,_zyh8pc,0)</f>
        <v/>
      </c>
      <c r="AT88" s="5">
        <f>IF(B88,F88-_zkfhzg-M88-O88-I88+AR88,0)</f>
        <v/>
      </c>
      <c r="AU88" s="5">
        <f>AT88-AH88</f>
        <v/>
      </c>
      <c r="AV88" s="5">
        <f>IF(B88,F88-_zkfhzg-M88-O88-I88-R88-AQ88+AS88-IF(AND(A88=_zx5hja,_z2al7i&gt;_zx5hja),T88,0),0)</f>
        <v/>
      </c>
      <c r="AW88" s="5">
        <f>AW87+AU88</f>
        <v/>
      </c>
      <c r="AX88" s="5">
        <f>IF(AND(AW87&lt;0,AW88&gt;=0,AU88&gt;0),1,0)</f>
        <v/>
      </c>
      <c r="AY88" s="5">
        <f>AU88/(1+_zawtbl)^A88</f>
        <v/>
      </c>
      <c r="AZ88" s="5">
        <f>AZ87+AY88</f>
        <v/>
      </c>
      <c r="BA88" s="5">
        <f>IF(AND(AZ87&lt;0,AZ88&gt;=0,AY88&gt;0),1,0)</f>
        <v/>
      </c>
      <c r="BB88" s="5">
        <f>_zs8nv3*C88</f>
        <v/>
      </c>
      <c r="BC88" s="5">
        <f>IF(B88,_zkfhzg+K88-AR88,0)</f>
        <v/>
      </c>
      <c r="BD88" s="5">
        <f>IF(AT88=0,BD87,SIGN(AT88))</f>
        <v/>
      </c>
      <c r="BE88" s="5">
        <f>BE87+IF(OR(AT88=0,BD87=0),0,IF(SIGN(AT88)&lt;&gt;BD87,1,0))</f>
        <v/>
      </c>
      <c r="BF88" s="5">
        <f>IF(AU88=0,BF87,SIGN(AU88))</f>
        <v/>
      </c>
      <c r="BG88" s="5">
        <f>BG87+IF(OR(AU88=0,BF87=0),0,IF(SIGN(AU88)&lt;&gt;BF87,1,0))</f>
        <v/>
      </c>
      <c r="BH88" s="5">
        <f>IF(AV88=0,BH87,SIGN(AV88))</f>
        <v/>
      </c>
      <c r="BI88" s="5">
        <f>BI87+IF(OR(AV88=0,BH87=0),0,IF(SIGN(AV88)&lt;&gt;BH87,1,0))</f>
        <v/>
      </c>
    </row>
    <row r="89">
      <c r="A89" s="5" t="n">
        <v>23</v>
      </c>
      <c r="B89" s="5">
        <f>AND(A89&gt;=1,A89&lt;=_zx5hja)</f>
        <v/>
      </c>
      <c r="C89" s="5">
        <f>IF(B89,(1-_zg5443)^(A89-1),0)</f>
        <v/>
      </c>
      <c r="D89" s="5">
        <f>_zt11ik*C89</f>
        <v/>
      </c>
      <c r="E89" s="5">
        <f>_z5gr99*C89</f>
        <v/>
      </c>
      <c r="F89" s="5">
        <f>_zk8d4f*D89+_zsw7bq*E89</f>
        <v/>
      </c>
      <c r="G89" s="5">
        <f>F89/(1+0.13)</f>
        <v/>
      </c>
      <c r="H89" s="5">
        <f>F89-G89</f>
        <v/>
      </c>
      <c r="I89" s="5">
        <f>IF(AND(B89,A89=_ztfkfy),_z67r2o*_z0m7ys,0)</f>
        <v/>
      </c>
      <c r="J89" s="5">
        <f>I89*0.13/(1+0.13)</f>
        <v/>
      </c>
      <c r="K89" s="5">
        <f>I89-J89</f>
        <v/>
      </c>
      <c r="L89" s="5">
        <f>N88+J89</f>
        <v/>
      </c>
      <c r="M89" s="5">
        <f>MAX(0,H89-L89)</f>
        <v/>
      </c>
      <c r="N89" s="5">
        <f>MAX(0,L89-H89)</f>
        <v/>
      </c>
      <c r="O89" s="5">
        <f>M89*0.12</f>
        <v/>
      </c>
      <c r="P89" s="5">
        <f>T88</f>
        <v/>
      </c>
      <c r="Q89" s="5">
        <f>IF(AND(B89,A89&lt;=_z2al7i),P89*_zyywx7,0)</f>
        <v/>
      </c>
      <c r="R89" s="5">
        <f>IF(AND(B89,A89&lt;=_z2al7i),_zgsfrl,0)</f>
        <v/>
      </c>
      <c r="S89" s="5">
        <f>R89-Q89</f>
        <v/>
      </c>
      <c r="T89" s="5">
        <f>MAX(0,P89-S89)</f>
        <v/>
      </c>
      <c r="U89" s="5">
        <f>IF(AND(B89,A89&lt;=_zupe8l),_zb0m7l,0)</f>
        <v/>
      </c>
      <c r="V89" s="5">
        <f>IF(AND(B89,A89&lt;=_zupe8l),_zm1wss,0)</f>
        <v/>
      </c>
      <c r="W89" s="5">
        <f>IF(AND(B89,A89&lt;=_zhf3a4),_zdqt32,0)</f>
        <v/>
      </c>
      <c r="X89" s="5">
        <f>IF((_zhsdpd="是"),IF(A89&lt;=3,0,IF(A89&lt;=6,0.5,1)),1)</f>
        <v/>
      </c>
      <c r="Y89" s="5">
        <f>_zrzkf6*X89+(1-_zrzkf6)</f>
        <v/>
      </c>
      <c r="Z89" s="5">
        <f>IF(B89,G89-_zkfhzg-O89-U89-W89-K89,0)</f>
        <v/>
      </c>
      <c r="AA89" s="5">
        <f>MAX(0,-Z88)</f>
        <v/>
      </c>
      <c r="AB89" s="5">
        <f>MIN(AA88,MAX(0,(AE88+AD88+AC88+AB88+AA88)-AF88))</f>
        <v/>
      </c>
      <c r="AC89" s="5">
        <f>MIN(AB88,MAX(0,(AE88+AD88+AC88+AB88)-AF88))</f>
        <v/>
      </c>
      <c r="AD89" s="5">
        <f>MIN(AC88,MAX(0,(AE88+AD88+AC88)-AF88))</f>
        <v/>
      </c>
      <c r="AE89" s="5">
        <f>MIN(AD88,MAX(0,(AE88+AD88)-AF88))</f>
        <v/>
      </c>
      <c r="AF89" s="5">
        <f>MIN(MAX(Z89,0),AA89+AB89+AC89+AD89+AE89)</f>
        <v/>
      </c>
      <c r="AG89" s="5">
        <f>MAX(Z89,0)-AF89</f>
        <v/>
      </c>
      <c r="AH89" s="5">
        <f>AG89*_zs8hxw*Y89</f>
        <v/>
      </c>
      <c r="AI89" s="5">
        <f>IF(B89,G89-_zkfhzg-O89-V89-W89-K89-Q89,0)</f>
        <v/>
      </c>
      <c r="AJ89" s="5">
        <f>MAX(0,-AI88)</f>
        <v/>
      </c>
      <c r="AK89" s="5">
        <f>MIN(AJ88,MAX(0,(AN88+AM88+AL88+AK88+AJ88)-AO88))</f>
        <v/>
      </c>
      <c r="AL89" s="5">
        <f>MIN(AK88,MAX(0,(AN88+AM88+AL88+AK88)-AO88))</f>
        <v/>
      </c>
      <c r="AM89" s="5">
        <f>MIN(AL88,MAX(0,(AN88+AM88+AL88)-AO88))</f>
        <v/>
      </c>
      <c r="AN89" s="5">
        <f>MIN(AM88,MAX(0,(AN88+AM88)-AO88))</f>
        <v/>
      </c>
      <c r="AO89" s="5">
        <f>MIN(MAX(AI89,0),AJ89+AK89+AL89+AM89+AN89)</f>
        <v/>
      </c>
      <c r="AP89" s="5">
        <f>MAX(AI89,0)-AO89</f>
        <v/>
      </c>
      <c r="AQ89" s="5">
        <f>AP89*_zs8hxw*Y89</f>
        <v/>
      </c>
      <c r="AR89" s="5">
        <f>IF(A89=_zx5hja,_zlajvq,0)</f>
        <v/>
      </c>
      <c r="AS89" s="5">
        <f>IF(A89=_zx5hja,_zyh8pc,0)</f>
        <v/>
      </c>
      <c r="AT89" s="5">
        <f>IF(B89,F89-_zkfhzg-M89-O89-I89+AR89,0)</f>
        <v/>
      </c>
      <c r="AU89" s="5">
        <f>AT89-AH89</f>
        <v/>
      </c>
      <c r="AV89" s="5">
        <f>IF(B89,F89-_zkfhzg-M89-O89-I89-R89-AQ89+AS89-IF(AND(A89=_zx5hja,_z2al7i&gt;_zx5hja),T89,0),0)</f>
        <v/>
      </c>
      <c r="AW89" s="5">
        <f>AW88+AU89</f>
        <v/>
      </c>
      <c r="AX89" s="5">
        <f>IF(AND(AW88&lt;0,AW89&gt;=0,AU89&gt;0),1,0)</f>
        <v/>
      </c>
      <c r="AY89" s="5">
        <f>AU89/(1+_zawtbl)^A89</f>
        <v/>
      </c>
      <c r="AZ89" s="5">
        <f>AZ88+AY89</f>
        <v/>
      </c>
      <c r="BA89" s="5">
        <f>IF(AND(AZ88&lt;0,AZ89&gt;=0,AY89&gt;0),1,0)</f>
        <v/>
      </c>
      <c r="BB89" s="5">
        <f>_zs8nv3*C89</f>
        <v/>
      </c>
      <c r="BC89" s="5">
        <f>IF(B89,_zkfhzg+K89-AR89,0)</f>
        <v/>
      </c>
      <c r="BD89" s="5">
        <f>IF(AT89=0,BD88,SIGN(AT89))</f>
        <v/>
      </c>
      <c r="BE89" s="5">
        <f>BE88+IF(OR(AT89=0,BD88=0),0,IF(SIGN(AT89)&lt;&gt;BD88,1,0))</f>
        <v/>
      </c>
      <c r="BF89" s="5">
        <f>IF(AU89=0,BF88,SIGN(AU89))</f>
        <v/>
      </c>
      <c r="BG89" s="5">
        <f>BG88+IF(OR(AU89=0,BF88=0),0,IF(SIGN(AU89)&lt;&gt;BF88,1,0))</f>
        <v/>
      </c>
      <c r="BH89" s="5">
        <f>IF(AV89=0,BH88,SIGN(AV89))</f>
        <v/>
      </c>
      <c r="BI89" s="5">
        <f>BI88+IF(OR(AV89=0,BH88=0),0,IF(SIGN(AV89)&lt;&gt;BH88,1,0))</f>
        <v/>
      </c>
    </row>
    <row r="90">
      <c r="A90" s="5" t="n">
        <v>24</v>
      </c>
      <c r="B90" s="5">
        <f>AND(A90&gt;=1,A90&lt;=_zx5hja)</f>
        <v/>
      </c>
      <c r="C90" s="5">
        <f>IF(B90,(1-_zg5443)^(A90-1),0)</f>
        <v/>
      </c>
      <c r="D90" s="5">
        <f>_zt11ik*C90</f>
        <v/>
      </c>
      <c r="E90" s="5">
        <f>_z5gr99*C90</f>
        <v/>
      </c>
      <c r="F90" s="5">
        <f>_zk8d4f*D90+_zsw7bq*E90</f>
        <v/>
      </c>
      <c r="G90" s="5">
        <f>F90/(1+0.13)</f>
        <v/>
      </c>
      <c r="H90" s="5">
        <f>F90-G90</f>
        <v/>
      </c>
      <c r="I90" s="5">
        <f>IF(AND(B90,A90=_ztfkfy),_z67r2o*_z0m7ys,0)</f>
        <v/>
      </c>
      <c r="J90" s="5">
        <f>I90*0.13/(1+0.13)</f>
        <v/>
      </c>
      <c r="K90" s="5">
        <f>I90-J90</f>
        <v/>
      </c>
      <c r="L90" s="5">
        <f>N89+J90</f>
        <v/>
      </c>
      <c r="M90" s="5">
        <f>MAX(0,H90-L90)</f>
        <v/>
      </c>
      <c r="N90" s="5">
        <f>MAX(0,L90-H90)</f>
        <v/>
      </c>
      <c r="O90" s="5">
        <f>M90*0.12</f>
        <v/>
      </c>
      <c r="P90" s="5">
        <f>T89</f>
        <v/>
      </c>
      <c r="Q90" s="5">
        <f>IF(AND(B90,A90&lt;=_z2al7i),P90*_zyywx7,0)</f>
        <v/>
      </c>
      <c r="R90" s="5">
        <f>IF(AND(B90,A90&lt;=_z2al7i),_zgsfrl,0)</f>
        <v/>
      </c>
      <c r="S90" s="5">
        <f>R90-Q90</f>
        <v/>
      </c>
      <c r="T90" s="5">
        <f>MAX(0,P90-S90)</f>
        <v/>
      </c>
      <c r="U90" s="5">
        <f>IF(AND(B90,A90&lt;=_zupe8l),_zb0m7l,0)</f>
        <v/>
      </c>
      <c r="V90" s="5">
        <f>IF(AND(B90,A90&lt;=_zupe8l),_zm1wss,0)</f>
        <v/>
      </c>
      <c r="W90" s="5">
        <f>IF(AND(B90,A90&lt;=_zhf3a4),_zdqt32,0)</f>
        <v/>
      </c>
      <c r="X90" s="5">
        <f>IF((_zhsdpd="是"),IF(A90&lt;=3,0,IF(A90&lt;=6,0.5,1)),1)</f>
        <v/>
      </c>
      <c r="Y90" s="5">
        <f>_zrzkf6*X90+(1-_zrzkf6)</f>
        <v/>
      </c>
      <c r="Z90" s="5">
        <f>IF(B90,G90-_zkfhzg-O90-U90-W90-K90,0)</f>
        <v/>
      </c>
      <c r="AA90" s="5">
        <f>MAX(0,-Z89)</f>
        <v/>
      </c>
      <c r="AB90" s="5">
        <f>MIN(AA89,MAX(0,(AE89+AD89+AC89+AB89+AA89)-AF89))</f>
        <v/>
      </c>
      <c r="AC90" s="5">
        <f>MIN(AB89,MAX(0,(AE89+AD89+AC89+AB89)-AF89))</f>
        <v/>
      </c>
      <c r="AD90" s="5">
        <f>MIN(AC89,MAX(0,(AE89+AD89+AC89)-AF89))</f>
        <v/>
      </c>
      <c r="AE90" s="5">
        <f>MIN(AD89,MAX(0,(AE89+AD89)-AF89))</f>
        <v/>
      </c>
      <c r="AF90" s="5">
        <f>MIN(MAX(Z90,0),AA90+AB90+AC90+AD90+AE90)</f>
        <v/>
      </c>
      <c r="AG90" s="5">
        <f>MAX(Z90,0)-AF90</f>
        <v/>
      </c>
      <c r="AH90" s="5">
        <f>AG90*_zs8hxw*Y90</f>
        <v/>
      </c>
      <c r="AI90" s="5">
        <f>IF(B90,G90-_zkfhzg-O90-V90-W90-K90-Q90,0)</f>
        <v/>
      </c>
      <c r="AJ90" s="5">
        <f>MAX(0,-AI89)</f>
        <v/>
      </c>
      <c r="AK90" s="5">
        <f>MIN(AJ89,MAX(0,(AN89+AM89+AL89+AK89+AJ89)-AO89))</f>
        <v/>
      </c>
      <c r="AL90" s="5">
        <f>MIN(AK89,MAX(0,(AN89+AM89+AL89+AK89)-AO89))</f>
        <v/>
      </c>
      <c r="AM90" s="5">
        <f>MIN(AL89,MAX(0,(AN89+AM89+AL89)-AO89))</f>
        <v/>
      </c>
      <c r="AN90" s="5">
        <f>MIN(AM89,MAX(0,(AN89+AM89)-AO89))</f>
        <v/>
      </c>
      <c r="AO90" s="5">
        <f>MIN(MAX(AI90,0),AJ90+AK90+AL90+AM90+AN90)</f>
        <v/>
      </c>
      <c r="AP90" s="5">
        <f>MAX(AI90,0)-AO90</f>
        <v/>
      </c>
      <c r="AQ90" s="5">
        <f>AP90*_zs8hxw*Y90</f>
        <v/>
      </c>
      <c r="AR90" s="5">
        <f>IF(A90=_zx5hja,_zlajvq,0)</f>
        <v/>
      </c>
      <c r="AS90" s="5">
        <f>IF(A90=_zx5hja,_zyh8pc,0)</f>
        <v/>
      </c>
      <c r="AT90" s="5">
        <f>IF(B90,F90-_zkfhzg-M90-O90-I90+AR90,0)</f>
        <v/>
      </c>
      <c r="AU90" s="5">
        <f>AT90-AH90</f>
        <v/>
      </c>
      <c r="AV90" s="5">
        <f>IF(B90,F90-_zkfhzg-M90-O90-I90-R90-AQ90+AS90-IF(AND(A90=_zx5hja,_z2al7i&gt;_zx5hja),T90,0),0)</f>
        <v/>
      </c>
      <c r="AW90" s="5">
        <f>AW89+AU90</f>
        <v/>
      </c>
      <c r="AX90" s="5">
        <f>IF(AND(AW89&lt;0,AW90&gt;=0,AU90&gt;0),1,0)</f>
        <v/>
      </c>
      <c r="AY90" s="5">
        <f>AU90/(1+_zawtbl)^A90</f>
        <v/>
      </c>
      <c r="AZ90" s="5">
        <f>AZ89+AY90</f>
        <v/>
      </c>
      <c r="BA90" s="5">
        <f>IF(AND(AZ89&lt;0,AZ90&gt;=0,AY90&gt;0),1,0)</f>
        <v/>
      </c>
      <c r="BB90" s="5">
        <f>_zs8nv3*C90</f>
        <v/>
      </c>
      <c r="BC90" s="5">
        <f>IF(B90,_zkfhzg+K90-AR90,0)</f>
        <v/>
      </c>
      <c r="BD90" s="5">
        <f>IF(AT90=0,BD89,SIGN(AT90))</f>
        <v/>
      </c>
      <c r="BE90" s="5">
        <f>BE89+IF(OR(AT90=0,BD89=0),0,IF(SIGN(AT90)&lt;&gt;BD89,1,0))</f>
        <v/>
      </c>
      <c r="BF90" s="5">
        <f>IF(AU90=0,BF89,SIGN(AU90))</f>
        <v/>
      </c>
      <c r="BG90" s="5">
        <f>BG89+IF(OR(AU90=0,BF89=0),0,IF(SIGN(AU90)&lt;&gt;BF89,1,0))</f>
        <v/>
      </c>
      <c r="BH90" s="5">
        <f>IF(AV90=0,BH89,SIGN(AV90))</f>
        <v/>
      </c>
      <c r="BI90" s="5">
        <f>BI89+IF(OR(AV90=0,BH89=0),0,IF(SIGN(AV90)&lt;&gt;BH89,1,0))</f>
        <v/>
      </c>
    </row>
    <row r="91">
      <c r="A91" s="5" t="n">
        <v>25</v>
      </c>
      <c r="B91" s="5">
        <f>AND(A91&gt;=1,A91&lt;=_zx5hja)</f>
        <v/>
      </c>
      <c r="C91" s="5">
        <f>IF(B91,(1-_zg5443)^(A91-1),0)</f>
        <v/>
      </c>
      <c r="D91" s="5">
        <f>_zt11ik*C91</f>
        <v/>
      </c>
      <c r="E91" s="5">
        <f>_z5gr99*C91</f>
        <v/>
      </c>
      <c r="F91" s="5">
        <f>_zk8d4f*D91+_zsw7bq*E91</f>
        <v/>
      </c>
      <c r="G91" s="5">
        <f>F91/(1+0.13)</f>
        <v/>
      </c>
      <c r="H91" s="5">
        <f>F91-G91</f>
        <v/>
      </c>
      <c r="I91" s="5">
        <f>IF(AND(B91,A91=_ztfkfy),_z67r2o*_z0m7ys,0)</f>
        <v/>
      </c>
      <c r="J91" s="5">
        <f>I91*0.13/(1+0.13)</f>
        <v/>
      </c>
      <c r="K91" s="5">
        <f>I91-J91</f>
        <v/>
      </c>
      <c r="L91" s="5">
        <f>N90+J91</f>
        <v/>
      </c>
      <c r="M91" s="5">
        <f>MAX(0,H91-L91)</f>
        <v/>
      </c>
      <c r="N91" s="5">
        <f>MAX(0,L91-H91)</f>
        <v/>
      </c>
      <c r="O91" s="5">
        <f>M91*0.12</f>
        <v/>
      </c>
      <c r="P91" s="5">
        <f>T90</f>
        <v/>
      </c>
      <c r="Q91" s="5">
        <f>IF(AND(B91,A91&lt;=_z2al7i),P91*_zyywx7,0)</f>
        <v/>
      </c>
      <c r="R91" s="5">
        <f>IF(AND(B91,A91&lt;=_z2al7i),_zgsfrl,0)</f>
        <v/>
      </c>
      <c r="S91" s="5">
        <f>R91-Q91</f>
        <v/>
      </c>
      <c r="T91" s="5">
        <f>MAX(0,P91-S91)</f>
        <v/>
      </c>
      <c r="U91" s="5">
        <f>IF(AND(B91,A91&lt;=_zupe8l),_zb0m7l,0)</f>
        <v/>
      </c>
      <c r="V91" s="5">
        <f>IF(AND(B91,A91&lt;=_zupe8l),_zm1wss,0)</f>
        <v/>
      </c>
      <c r="W91" s="5">
        <f>IF(AND(B91,A91&lt;=_zhf3a4),_zdqt32,0)</f>
        <v/>
      </c>
      <c r="X91" s="5">
        <f>IF((_zhsdpd="是"),IF(A91&lt;=3,0,IF(A91&lt;=6,0.5,1)),1)</f>
        <v/>
      </c>
      <c r="Y91" s="5">
        <f>_zrzkf6*X91+(1-_zrzkf6)</f>
        <v/>
      </c>
      <c r="Z91" s="5">
        <f>IF(B91,G91-_zkfhzg-O91-U91-W91-K91,0)</f>
        <v/>
      </c>
      <c r="AA91" s="5">
        <f>MAX(0,-Z90)</f>
        <v/>
      </c>
      <c r="AB91" s="5">
        <f>MIN(AA90,MAX(0,(AE90+AD90+AC90+AB90+AA90)-AF90))</f>
        <v/>
      </c>
      <c r="AC91" s="5">
        <f>MIN(AB90,MAX(0,(AE90+AD90+AC90+AB90)-AF90))</f>
        <v/>
      </c>
      <c r="AD91" s="5">
        <f>MIN(AC90,MAX(0,(AE90+AD90+AC90)-AF90))</f>
        <v/>
      </c>
      <c r="AE91" s="5">
        <f>MIN(AD90,MAX(0,(AE90+AD90)-AF90))</f>
        <v/>
      </c>
      <c r="AF91" s="5">
        <f>MIN(MAX(Z91,0),AA91+AB91+AC91+AD91+AE91)</f>
        <v/>
      </c>
      <c r="AG91" s="5">
        <f>MAX(Z91,0)-AF91</f>
        <v/>
      </c>
      <c r="AH91" s="5">
        <f>AG91*_zs8hxw*Y91</f>
        <v/>
      </c>
      <c r="AI91" s="5">
        <f>IF(B91,G91-_zkfhzg-O91-V91-W91-K91-Q91,0)</f>
        <v/>
      </c>
      <c r="AJ91" s="5">
        <f>MAX(0,-AI90)</f>
        <v/>
      </c>
      <c r="AK91" s="5">
        <f>MIN(AJ90,MAX(0,(AN90+AM90+AL90+AK90+AJ90)-AO90))</f>
        <v/>
      </c>
      <c r="AL91" s="5">
        <f>MIN(AK90,MAX(0,(AN90+AM90+AL90+AK90)-AO90))</f>
        <v/>
      </c>
      <c r="AM91" s="5">
        <f>MIN(AL90,MAX(0,(AN90+AM90+AL90)-AO90))</f>
        <v/>
      </c>
      <c r="AN91" s="5">
        <f>MIN(AM90,MAX(0,(AN90+AM90)-AO90))</f>
        <v/>
      </c>
      <c r="AO91" s="5">
        <f>MIN(MAX(AI91,0),AJ91+AK91+AL91+AM91+AN91)</f>
        <v/>
      </c>
      <c r="AP91" s="5">
        <f>MAX(AI91,0)-AO91</f>
        <v/>
      </c>
      <c r="AQ91" s="5">
        <f>AP91*_zs8hxw*Y91</f>
        <v/>
      </c>
      <c r="AR91" s="5">
        <f>IF(A91=_zx5hja,_zlajvq,0)</f>
        <v/>
      </c>
      <c r="AS91" s="5">
        <f>IF(A91=_zx5hja,_zyh8pc,0)</f>
        <v/>
      </c>
      <c r="AT91" s="5">
        <f>IF(B91,F91-_zkfhzg-M91-O91-I91+AR91,0)</f>
        <v/>
      </c>
      <c r="AU91" s="5">
        <f>AT91-AH91</f>
        <v/>
      </c>
      <c r="AV91" s="5">
        <f>IF(B91,F91-_zkfhzg-M91-O91-I91-R91-AQ91+AS91-IF(AND(A91=_zx5hja,_z2al7i&gt;_zx5hja),T91,0),0)</f>
        <v/>
      </c>
      <c r="AW91" s="5">
        <f>AW90+AU91</f>
        <v/>
      </c>
      <c r="AX91" s="5">
        <f>IF(AND(AW90&lt;0,AW91&gt;=0,AU91&gt;0),1,0)</f>
        <v/>
      </c>
      <c r="AY91" s="5">
        <f>AU91/(1+_zawtbl)^A91</f>
        <v/>
      </c>
      <c r="AZ91" s="5">
        <f>AZ90+AY91</f>
        <v/>
      </c>
      <c r="BA91" s="5">
        <f>IF(AND(AZ90&lt;0,AZ91&gt;=0,AY91&gt;0),1,0)</f>
        <v/>
      </c>
      <c r="BB91" s="5">
        <f>_zs8nv3*C91</f>
        <v/>
      </c>
      <c r="BC91" s="5">
        <f>IF(B91,_zkfhzg+K91-AR91,0)</f>
        <v/>
      </c>
      <c r="BD91" s="5">
        <f>IF(AT91=0,BD90,SIGN(AT91))</f>
        <v/>
      </c>
      <c r="BE91" s="5">
        <f>BE90+IF(OR(AT91=0,BD90=0),0,IF(SIGN(AT91)&lt;&gt;BD90,1,0))</f>
        <v/>
      </c>
      <c r="BF91" s="5">
        <f>IF(AU91=0,BF90,SIGN(AU91))</f>
        <v/>
      </c>
      <c r="BG91" s="5">
        <f>BG90+IF(OR(AU91=0,BF90=0),0,IF(SIGN(AU91)&lt;&gt;BF90,1,0))</f>
        <v/>
      </c>
      <c r="BH91" s="5">
        <f>IF(AV91=0,BH90,SIGN(AV91))</f>
        <v/>
      </c>
      <c r="BI91" s="5">
        <f>BI90+IF(OR(AV91=0,BH90=0),0,IF(SIGN(AV91)&lt;&gt;BH90,1,0))</f>
        <v/>
      </c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</row>
    <row r="93">
      <c r="A93" s="5" t="inlineStr">
        <is>
          <t>chk_pre_lo</t>
        </is>
      </c>
      <c r="B93" s="5">
        <f>SUMPRODUCT(_zu5jm5,0.01^-_zmuh0g)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</row>
    <row r="94">
      <c r="A94" s="5" t="inlineStr">
        <is>
          <t>chk_pre_hi</t>
        </is>
      </c>
      <c r="B94" s="5">
        <f>SUMPRODUCT(_zu5jm5,4^-_zmuh0g)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</row>
    <row r="95">
      <c r="A95" s="5" t="inlineStr">
        <is>
          <t>chk_post_lo</t>
        </is>
      </c>
      <c r="B95" s="5">
        <f>SUMPRODUCT(_zzpzma,0.01^-_zmuh0g)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</row>
    <row r="96">
      <c r="A96" s="5" t="inlineStr">
        <is>
          <t>chk_post_hi</t>
        </is>
      </c>
      <c r="B96" s="5">
        <f>SUMPRODUCT(_zzpzma,4^-_zmuh0g)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</row>
    <row r="97">
      <c r="A97" s="5" t="inlineStr">
        <is>
          <t>chk_eq_lo</t>
        </is>
      </c>
      <c r="B97" s="5">
        <f>SUMPRODUCT(_z47e1n,0.01^-_zmuh0g)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</row>
    <row r="98">
      <c r="A98" s="5" t="inlineStr">
        <is>
          <t>chk_eq_hi</t>
        </is>
      </c>
      <c r="B98" s="5">
        <f>SUMPRODUCT(_z47e1n,4^-_zmuh0g)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</row>
    <row r="99">
      <c r="A99" s="5" t="inlineStr">
        <is>
          <t>irr_pre</t>
        </is>
      </c>
      <c r="B99" s="5">
        <f>IF(_z7fj0w&gt;25,"运营期超25年·请用网页版测算",IF(_zsqbm8*_zzj3wj&gt;0,IF(BE91&gt;1,"非常规现金流，须人工复核","全周期未回收"),IFERROR(IRR(_zu5jm5),"—")))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</row>
    <row r="100">
      <c r="A100" s="5" t="inlineStr">
        <is>
          <t>irr_post</t>
        </is>
      </c>
      <c r="B100" s="5">
        <f>IF(_z7fj0w&gt;25,"运营期超25年·请用网页版测算",IF(_zqsho0*_zpy13v&gt;0,IF(BG91&gt;1,"非常规现金流，须人工复核","全周期未回收"),IFERROR(IRR(_zzpzma),"—")))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</row>
    <row r="101">
      <c r="A101" s="5" t="inlineStr">
        <is>
          <t>irr_eq</t>
        </is>
      </c>
      <c r="B101" s="5">
        <f>IF(_z7fj0w&gt;25,"运营期超25年·请用网页版测算",IF(_zxdbxd*_ztsxiq&gt;0,IF(BI91&gt;1,"非常规现金流，须人工复核","全周期未回收"),IFERROR(IRR(_z47e1n),"—")))</f>
        <v/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</row>
    <row r="102">
      <c r="A102" s="5" t="inlineStr">
        <is>
          <t>npv</t>
        </is>
      </c>
      <c r="B102" s="5">
        <f>IF(_z7fj0w&gt;25,"运营期超25年·请用网页版测算",INDEX(_zzpzma,1)+NPV(_zawtbl,_zylg1g))</f>
        <v/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</row>
    <row r="103">
      <c r="A103" s="5" t="inlineStr">
        <is>
          <t>payback_s</t>
        </is>
      </c>
      <c r="B103" s="5">
        <f>IF(_z7fj0w&gt;25,"运营期超25年·请用网页版测算",IFERROR(MATCH(1,_zqxysi,0)-2+ABS(INDEX(_zhb49w,MATCH(1,_zqxysi,0)-1))/INDEX(_zzpzma,MATCH(1,_zqxysi,0)),"超运营期"))</f>
        <v/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</row>
    <row r="104">
      <c r="A104" s="5" t="inlineStr">
        <is>
          <t>payback_d</t>
        </is>
      </c>
      <c r="B104" s="5">
        <f>IF(_z7fj0w&gt;25,"运营期超25年·请用网页版测算",IFERROR(MATCH(1,_zcoe8g,0)-2+ABS(INDEX(_zn8bpc,MATCH(1,_zcoe8g,0)-1))/INDEX(_zd9fqm,MATCH(1,_zcoe8g,0)),"超运营期"))</f>
        <v/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</row>
    <row r="105">
      <c r="A105" s="5" t="inlineStr">
        <is>
          <t>lcoe</t>
        </is>
      </c>
      <c r="B105" s="5">
        <f>IF(_z7fj0w&gt;25,"运营期超25年·请用网页版测算",IF(NPV(_zawtbl,_zs6qdd)&gt;0,(_z2nx0n+_zfraqw+NPV(_zawtbl,_zzvb05))/NPV(_zawtbl,_zs6qdd),"—"))</f>
        <v/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F07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介子九维 JIEZIJIUWEI</dc:creator>
  <dc:title xmlns:dc="http://purl.org/dc/elements/1.1/">绿电直连经济测算 v4.0</dc:title>
  <dc:description xmlns:dc="http://purl.org/dc/elements/1.1/">本工具由介子九维（JIEZIJIUWEI）制作并享有著作权。</dc:description>
  <dc:subject xmlns:dc="http://purl.org/dc/elements/1.1/">新能源测算工具箱</dc:subject>
  <dcterms:created xmlns:dcterms="http://purl.org/dc/terms/" xmlns:xsi="http://www.w3.org/2001/XMLSchema-instance" xsi:type="dcterms:W3CDTF">2026-08-01T12:58:36Z</dcterms:created>
  <dcterms:modified xmlns:dcterms="http://purl.org/dc/terms/" xmlns:xsi="http://www.w3.org/2001/XMLSchema-instance" xsi:type="dcterms:W3CDTF">2026-08-01T12:58:36Z</dcterms:modified>
  <cp:lastModifiedBy>介子九维 JIEZIJIUWEI</cp:lastModifiedBy>
</cp:coreProperties>
</file>